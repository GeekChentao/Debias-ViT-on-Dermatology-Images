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d0109d20b3edff/Desktop/UOFW/ECE699/Rebuttal/"/>
    </mc:Choice>
  </mc:AlternateContent>
  <xr:revisionPtr revIDLastSave="1166" documentId="13_ncr:1_{0B9A30B3-2077-447B-9B16-13B8BCA6B5AF}" xr6:coauthVersionLast="47" xr6:coauthVersionMax="47" xr10:uidLastSave="{7D59759F-DFED-4C68-8298-9AAF8BFC0C38}"/>
  <bookViews>
    <workbookView xWindow="-93" yWindow="-93" windowWidth="25786" windowHeight="13866" activeTab="6" xr2:uid="{92D71CEB-F34A-42F3-BE55-B8DA91873A84}"/>
  </bookViews>
  <sheets>
    <sheet name="BasicSum" sheetId="2" r:id="rId1"/>
    <sheet name="SkinToneSum" sheetId="4" r:id="rId2"/>
    <sheet name="GeminiSum" sheetId="6" r:id="rId3"/>
    <sheet name="MONETSum" sheetId="8" r:id="rId4"/>
    <sheet name="MONET3Sum" sheetId="10" r:id="rId5"/>
    <sheet name="Comparison" sheetId="12" r:id="rId6"/>
    <sheet name="Computing Resource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4" l="1"/>
  <c r="D9" i="2"/>
  <c r="D8" i="2"/>
  <c r="C12" i="8"/>
  <c r="D5" i="12"/>
  <c r="D4" i="12"/>
  <c r="D9" i="12"/>
  <c r="D8" i="12"/>
  <c r="D17" i="12"/>
  <c r="D16" i="12"/>
  <c r="D13" i="12"/>
  <c r="D12" i="12"/>
  <c r="F12" i="12"/>
  <c r="G12" i="12"/>
  <c r="G9" i="12"/>
  <c r="G17" i="12"/>
  <c r="F17" i="12"/>
  <c r="E17" i="12"/>
  <c r="C17" i="12"/>
  <c r="G16" i="12"/>
  <c r="F16" i="12"/>
  <c r="E16" i="12"/>
  <c r="C16" i="12"/>
  <c r="D25" i="10"/>
  <c r="D24" i="10"/>
  <c r="D21" i="10"/>
  <c r="D20" i="10"/>
  <c r="D17" i="10"/>
  <c r="D16" i="10"/>
  <c r="D13" i="10"/>
  <c r="D12" i="10"/>
  <c r="D9" i="10"/>
  <c r="D8" i="10"/>
  <c r="D5" i="10"/>
  <c r="D4" i="10"/>
  <c r="D25" i="8"/>
  <c r="D24" i="8"/>
  <c r="D21" i="8"/>
  <c r="D20" i="8"/>
  <c r="D17" i="8"/>
  <c r="D16" i="8"/>
  <c r="C17" i="8"/>
  <c r="D13" i="8"/>
  <c r="D12" i="8"/>
  <c r="D9" i="8"/>
  <c r="D8" i="8"/>
  <c r="D5" i="8"/>
  <c r="D4" i="8"/>
  <c r="D25" i="6"/>
  <c r="D24" i="6"/>
  <c r="D21" i="6"/>
  <c r="D20" i="6"/>
  <c r="D17" i="6"/>
  <c r="D16" i="6"/>
  <c r="D13" i="6"/>
  <c r="D12" i="6"/>
  <c r="D9" i="6"/>
  <c r="C9" i="6"/>
  <c r="C5" i="6"/>
  <c r="D8" i="6"/>
  <c r="D5" i="6"/>
  <c r="D4" i="6"/>
  <c r="D25" i="4"/>
  <c r="D24" i="4"/>
  <c r="D21" i="4"/>
  <c r="D20" i="4"/>
  <c r="D17" i="4"/>
  <c r="D16" i="4"/>
  <c r="D13" i="4"/>
  <c r="D12" i="4"/>
  <c r="D9" i="4"/>
  <c r="D8" i="4"/>
  <c r="D5" i="4"/>
  <c r="D4" i="4"/>
  <c r="C4" i="2"/>
  <c r="G12" i="2"/>
  <c r="D13" i="2"/>
  <c r="D12" i="2"/>
  <c r="C9" i="2"/>
  <c r="D5" i="2"/>
  <c r="D4" i="2"/>
  <c r="M9" i="13"/>
  <c r="L9" i="13"/>
  <c r="K9" i="13"/>
  <c r="J9" i="13"/>
  <c r="M8" i="13"/>
  <c r="L8" i="13"/>
  <c r="K8" i="13"/>
  <c r="J8" i="13"/>
  <c r="M5" i="13"/>
  <c r="L5" i="13"/>
  <c r="K5" i="13"/>
  <c r="J5" i="13"/>
  <c r="M4" i="13"/>
  <c r="L4" i="13"/>
  <c r="K4" i="13"/>
  <c r="J4" i="13"/>
  <c r="G13" i="8"/>
  <c r="F9" i="12"/>
  <c r="E9" i="12"/>
  <c r="C9" i="12"/>
  <c r="G8" i="12"/>
  <c r="F8" i="12"/>
  <c r="E8" i="12"/>
  <c r="C8" i="12"/>
  <c r="C24" i="10"/>
  <c r="C24" i="6"/>
  <c r="C21" i="4"/>
  <c r="G13" i="10"/>
  <c r="G13" i="12"/>
  <c r="F13" i="12"/>
  <c r="E13" i="12"/>
  <c r="C13" i="12"/>
  <c r="E12" i="12"/>
  <c r="C12" i="12"/>
  <c r="F13" i="2"/>
  <c r="E4" i="2"/>
  <c r="F5" i="2"/>
  <c r="E5" i="2"/>
  <c r="C5" i="2"/>
  <c r="G5" i="2"/>
  <c r="G4" i="2"/>
  <c r="F4" i="2"/>
  <c r="C5" i="12"/>
  <c r="G5" i="12" l="1"/>
  <c r="F5" i="12"/>
  <c r="E5" i="12"/>
  <c r="G4" i="12"/>
  <c r="F4" i="12"/>
  <c r="E4" i="12"/>
  <c r="C4" i="12"/>
  <c r="G25" i="10"/>
  <c r="F25" i="10"/>
  <c r="E25" i="10"/>
  <c r="C25" i="10"/>
  <c r="G24" i="10"/>
  <c r="F24" i="10"/>
  <c r="E24" i="10"/>
  <c r="G21" i="10"/>
  <c r="F21" i="10"/>
  <c r="E21" i="10"/>
  <c r="C21" i="10"/>
  <c r="G20" i="10"/>
  <c r="F20" i="10"/>
  <c r="E20" i="10"/>
  <c r="C20" i="10"/>
  <c r="G17" i="10"/>
  <c r="F17" i="10"/>
  <c r="E17" i="10"/>
  <c r="C17" i="10"/>
  <c r="G16" i="10"/>
  <c r="F16" i="10"/>
  <c r="E16" i="10"/>
  <c r="C16" i="10"/>
  <c r="F13" i="10"/>
  <c r="E13" i="10"/>
  <c r="C13" i="10"/>
  <c r="G12" i="10"/>
  <c r="F12" i="10"/>
  <c r="E12" i="10"/>
  <c r="C12" i="10"/>
  <c r="G9" i="10"/>
  <c r="F9" i="10"/>
  <c r="E9" i="10"/>
  <c r="C9" i="10"/>
  <c r="G8" i="10"/>
  <c r="F8" i="10"/>
  <c r="E8" i="10"/>
  <c r="C8" i="10"/>
  <c r="G5" i="10"/>
  <c r="F5" i="10"/>
  <c r="E5" i="10"/>
  <c r="C5" i="10"/>
  <c r="G4" i="10"/>
  <c r="F4" i="10"/>
  <c r="E4" i="10"/>
  <c r="C4" i="10"/>
  <c r="G25" i="8"/>
  <c r="F25" i="8"/>
  <c r="E25" i="8"/>
  <c r="C25" i="8"/>
  <c r="G24" i="8"/>
  <c r="F24" i="8"/>
  <c r="E24" i="8"/>
  <c r="C24" i="8"/>
  <c r="G21" i="8"/>
  <c r="F21" i="8"/>
  <c r="E21" i="8"/>
  <c r="C21" i="8"/>
  <c r="G20" i="8"/>
  <c r="F20" i="8"/>
  <c r="E20" i="8"/>
  <c r="C20" i="8"/>
  <c r="G17" i="8"/>
  <c r="F17" i="8"/>
  <c r="E17" i="8"/>
  <c r="G16" i="8"/>
  <c r="F16" i="8"/>
  <c r="E16" i="8"/>
  <c r="C16" i="8"/>
  <c r="F13" i="8"/>
  <c r="E13" i="8"/>
  <c r="C13" i="8"/>
  <c r="G12" i="8"/>
  <c r="F12" i="8"/>
  <c r="E12" i="8"/>
  <c r="G9" i="8"/>
  <c r="F9" i="8"/>
  <c r="E9" i="8"/>
  <c r="C9" i="8"/>
  <c r="G8" i="8"/>
  <c r="F8" i="8"/>
  <c r="E8" i="8"/>
  <c r="C8" i="8"/>
  <c r="G5" i="8"/>
  <c r="F5" i="8"/>
  <c r="E5" i="8"/>
  <c r="C5" i="8"/>
  <c r="G4" i="8"/>
  <c r="F4" i="8"/>
  <c r="E4" i="8"/>
  <c r="C4" i="8"/>
  <c r="C8" i="6"/>
  <c r="E8" i="6"/>
  <c r="F8" i="6"/>
  <c r="G8" i="6"/>
  <c r="E9" i="6"/>
  <c r="F9" i="6"/>
  <c r="G9" i="6"/>
  <c r="G25" i="6"/>
  <c r="F25" i="6"/>
  <c r="E25" i="6"/>
  <c r="C25" i="6"/>
  <c r="G24" i="6"/>
  <c r="F24" i="6"/>
  <c r="E24" i="6"/>
  <c r="G21" i="6"/>
  <c r="F21" i="6"/>
  <c r="E21" i="6"/>
  <c r="C21" i="6"/>
  <c r="G20" i="6"/>
  <c r="F20" i="6"/>
  <c r="E20" i="6"/>
  <c r="C20" i="6"/>
  <c r="G17" i="6"/>
  <c r="F17" i="6"/>
  <c r="E17" i="6"/>
  <c r="C17" i="6"/>
  <c r="G16" i="6"/>
  <c r="F16" i="6"/>
  <c r="E16" i="6"/>
  <c r="C16" i="6"/>
  <c r="G13" i="6"/>
  <c r="F13" i="6"/>
  <c r="E13" i="6"/>
  <c r="C13" i="6"/>
  <c r="G12" i="6"/>
  <c r="F12" i="6"/>
  <c r="E12" i="6"/>
  <c r="C12" i="6"/>
  <c r="G5" i="6"/>
  <c r="F5" i="6"/>
  <c r="E5" i="6"/>
  <c r="G4" i="6"/>
  <c r="F4" i="6"/>
  <c r="E4" i="6"/>
  <c r="C4" i="6"/>
  <c r="E25" i="4"/>
  <c r="F25" i="4"/>
  <c r="G25" i="4"/>
  <c r="C25" i="4"/>
  <c r="E24" i="4"/>
  <c r="F24" i="4"/>
  <c r="G24" i="4"/>
  <c r="C24" i="4"/>
  <c r="E21" i="4"/>
  <c r="F21" i="4"/>
  <c r="G21" i="4"/>
  <c r="E20" i="4"/>
  <c r="F20" i="4"/>
  <c r="G20" i="4"/>
  <c r="E17" i="4"/>
  <c r="F17" i="4"/>
  <c r="G17" i="4"/>
  <c r="C17" i="4"/>
  <c r="E16" i="4"/>
  <c r="F16" i="4"/>
  <c r="G16" i="4"/>
  <c r="C16" i="4"/>
  <c r="E13" i="4"/>
  <c r="F13" i="4"/>
  <c r="G13" i="4"/>
  <c r="C13" i="4"/>
  <c r="E12" i="4"/>
  <c r="F12" i="4"/>
  <c r="G12" i="4"/>
  <c r="C12" i="4"/>
  <c r="E9" i="4"/>
  <c r="F9" i="4"/>
  <c r="G9" i="4"/>
  <c r="C9" i="4"/>
  <c r="E8" i="4"/>
  <c r="F8" i="4"/>
  <c r="G8" i="4"/>
  <c r="C8" i="4"/>
  <c r="E5" i="4"/>
  <c r="F5" i="4"/>
  <c r="G5" i="4"/>
  <c r="C5" i="4"/>
  <c r="E4" i="4"/>
  <c r="F4" i="4"/>
  <c r="G4" i="4"/>
  <c r="C4" i="4"/>
  <c r="E13" i="2"/>
  <c r="G13" i="2"/>
  <c r="C13" i="2"/>
  <c r="E12" i="2"/>
  <c r="F12" i="2"/>
  <c r="C12" i="2"/>
  <c r="E9" i="2"/>
  <c r="F9" i="2"/>
  <c r="G9" i="2"/>
  <c r="E8" i="2"/>
  <c r="F8" i="2"/>
  <c r="G8" i="2"/>
  <c r="C8" i="2"/>
</calcChain>
</file>

<file path=xl/sharedStrings.xml><?xml version="1.0" encoding="utf-8"?>
<sst xmlns="http://schemas.openxmlformats.org/spreadsheetml/2006/main" count="225" uniqueCount="42">
  <si>
    <t>ViT-B32</t>
  </si>
  <si>
    <t>Accuracy</t>
  </si>
  <si>
    <t>Sensitivity</t>
  </si>
  <si>
    <t>Specificity</t>
  </si>
  <si>
    <t>AUC</t>
  </si>
  <si>
    <t>Model</t>
  </si>
  <si>
    <t>Skin tone 1</t>
  </si>
  <si>
    <t>Skin tone 2</t>
  </si>
  <si>
    <t>Average</t>
  </si>
  <si>
    <t>Gap</t>
  </si>
  <si>
    <t>Sensitivty</t>
  </si>
  <si>
    <t>Specificty</t>
  </si>
  <si>
    <t>ViT-L32</t>
  </si>
  <si>
    <t>Average ↑</t>
  </si>
  <si>
    <t>Gap ↓</t>
  </si>
  <si>
    <t>CNN</t>
  </si>
  <si>
    <t>Training Time (s)</t>
  </si>
  <si>
    <t>MAX GPU Allocation (MB)</t>
  </si>
  <si>
    <t>MAX CPU Allocation (MB)</t>
  </si>
  <si>
    <t>Inference Latency (ms/sample)</t>
  </si>
  <si>
    <t>Max GPU Memory Allocation (MB)</t>
  </si>
  <si>
    <t>Max CPU Memory Allocation (MB)</t>
  </si>
  <si>
    <t>Total Parameters</t>
  </si>
  <si>
    <t>ViT-B/32</t>
  </si>
  <si>
    <t>ViT-B/32 &amp; S-BERT - Concat. Fusion</t>
  </si>
  <si>
    <t>ViT-B/32 &amp; BERT - Concat. Fusion</t>
  </si>
  <si>
    <t>ViT-B/32 &amp; CLIP - Concat. Fusion</t>
  </si>
  <si>
    <t>ViT-B/32 &amp; S-BERT - Elem. Wise Fusion</t>
  </si>
  <si>
    <t>ViT-B/32 &amp; BERT - Elem. Wise Fusion</t>
  </si>
  <si>
    <t>ViT-B/32 &amp; CLIP - Elem. Wise Fusion</t>
  </si>
  <si>
    <t>Light</t>
  </si>
  <si>
    <t>Dark</t>
  </si>
  <si>
    <t>ViT-B/32 with ResNet-26</t>
  </si>
  <si>
    <t>F1 Score</t>
  </si>
  <si>
    <t>training time</t>
  </si>
  <si>
    <t>ViT-B/32 &amp; Sentence-BERT - Concat. Fusion</t>
  </si>
  <si>
    <t>ViT-B/32 &amp; Sentence-BERT - Elem. Wise Fusion</t>
  </si>
  <si>
    <t xml:space="preserve">Average </t>
  </si>
  <si>
    <t>F1 Sore</t>
  </si>
  <si>
    <t>ViT-B/32 &amp; BERT - Elem. Wise Fusion (under distribution shift)</t>
  </si>
  <si>
    <t>single CNN</t>
  </si>
  <si>
    <t>single CNN  (under distribution shift)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</si>
</sst>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wrapText="1"/>
    </xf>
    <xf numFmtId="165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1" xfId="0" applyBorder="1"/>
    <xf numFmtId="3" fontId="1" fillId="0" borderId="0" xfId="0" applyNumberFormat="1" applyFont="1" applyAlignment="1">
      <alignment horizontal="center" vertical="center"/>
    </xf>
    <xf numFmtId="3" fontId="1" fillId="0" borderId="0" xfId="1" applyNumberFormat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" fillId="0" borderId="0" xfId="1" applyNumberFormat="1" applyFont="1" applyAlignment="1">
      <alignment horizontal="center" vertical="center"/>
    </xf>
    <xf numFmtId="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5BCC-75F5-4480-959C-5B97948685D0}">
  <dimension ref="A1:G13"/>
  <sheetViews>
    <sheetView zoomScaleNormal="100" workbookViewId="0">
      <selection activeCell="H8" sqref="H8"/>
    </sheetView>
  </sheetViews>
  <sheetFormatPr defaultColWidth="9.234375" defaultRowHeight="14.35" x14ac:dyDescent="0.5"/>
  <cols>
    <col min="1" max="1" width="22.29296875" style="16" customWidth="1"/>
    <col min="2" max="2" width="9.52734375" style="16" bestFit="1" customWidth="1"/>
    <col min="3" max="4" width="11.703125" style="16" customWidth="1"/>
    <col min="5" max="5" width="13.3515625" style="16" customWidth="1"/>
    <col min="6" max="6" width="11.5859375" style="16" customWidth="1"/>
    <col min="7" max="7" width="9.234375" style="16"/>
    <col min="8" max="8" width="16.5859375" style="16" customWidth="1"/>
    <col min="9" max="9" width="27.8203125" style="16" customWidth="1"/>
    <col min="10" max="10" width="28.29296875" style="16" customWidth="1"/>
    <col min="11" max="12" width="26.9375" style="16" customWidth="1"/>
    <col min="13" max="13" width="38.234375" style="16" customWidth="1"/>
    <col min="14" max="16384" width="9.234375" style="16"/>
  </cols>
  <sheetData>
    <row r="1" spans="1:7" x14ac:dyDescent="0.5">
      <c r="A1" s="18" t="s">
        <v>5</v>
      </c>
      <c r="B1" s="18"/>
      <c r="C1" s="18" t="s">
        <v>1</v>
      </c>
      <c r="D1" s="18" t="s">
        <v>33</v>
      </c>
      <c r="E1" s="18" t="s">
        <v>2</v>
      </c>
      <c r="F1" s="18" t="s">
        <v>11</v>
      </c>
      <c r="G1" s="18" t="s">
        <v>4</v>
      </c>
    </row>
    <row r="2" spans="1:7" x14ac:dyDescent="0.5">
      <c r="A2" s="41" t="s">
        <v>15</v>
      </c>
      <c r="B2" s="16" t="s">
        <v>30</v>
      </c>
      <c r="C2" s="12">
        <v>0.70140000000000002</v>
      </c>
      <c r="D2" s="12">
        <v>0.71640000000000004</v>
      </c>
      <c r="E2" s="12">
        <v>0.76739999999999997</v>
      </c>
      <c r="F2" s="12">
        <v>0.63759999999999994</v>
      </c>
      <c r="G2" s="12">
        <v>0.70250000000000001</v>
      </c>
    </row>
    <row r="3" spans="1:7" x14ac:dyDescent="0.5">
      <c r="A3" s="41"/>
      <c r="B3" s="16" t="s">
        <v>31</v>
      </c>
      <c r="C3" s="12">
        <v>0.6452</v>
      </c>
      <c r="D3" s="12">
        <v>0.66890000000000005</v>
      </c>
      <c r="E3" s="12">
        <v>0.57579999999999998</v>
      </c>
      <c r="F3" s="12">
        <v>0.72409999999999997</v>
      </c>
      <c r="G3" s="12">
        <v>0.64990000000000003</v>
      </c>
    </row>
    <row r="4" spans="1:7" x14ac:dyDescent="0.5">
      <c r="A4" s="41"/>
      <c r="B4" s="18" t="s">
        <v>8</v>
      </c>
      <c r="C4" s="11">
        <f>AVERAGE(C2:C3)</f>
        <v>0.67330000000000001</v>
      </c>
      <c r="D4" s="12">
        <f>AVERAGE(D2:D3)</f>
        <v>0.69264999999999999</v>
      </c>
      <c r="E4" s="12">
        <f>AVERAGE(E2:E3)</f>
        <v>0.67159999999999997</v>
      </c>
      <c r="F4" s="12">
        <f>AVERAGE(F2:F3)</f>
        <v>0.68084999999999996</v>
      </c>
      <c r="G4" s="11">
        <f>AVERAGE(G2:G3)</f>
        <v>0.67620000000000002</v>
      </c>
    </row>
    <row r="5" spans="1:7" x14ac:dyDescent="0.5">
      <c r="A5" s="41"/>
      <c r="B5" s="26" t="s">
        <v>9</v>
      </c>
      <c r="C5" s="11">
        <f>ABS(C2-C3)</f>
        <v>5.6200000000000028E-2</v>
      </c>
      <c r="D5" s="12">
        <f>ABS(D2-D3)</f>
        <v>4.7499999999999987E-2</v>
      </c>
      <c r="E5" s="12">
        <f>ABS(E2-E3)</f>
        <v>0.19159999999999999</v>
      </c>
      <c r="F5" s="12">
        <f>ABS(F2-F3)</f>
        <v>8.6500000000000021E-2</v>
      </c>
      <c r="G5" s="11">
        <f>ABS(G2-G3)</f>
        <v>5.259999999999998E-2</v>
      </c>
    </row>
    <row r="6" spans="1:7" x14ac:dyDescent="0.5">
      <c r="A6" s="41" t="s">
        <v>23</v>
      </c>
      <c r="B6" s="16" t="s">
        <v>30</v>
      </c>
      <c r="C6" s="24">
        <v>0.80720000000000003</v>
      </c>
      <c r="D6" s="24">
        <v>0.8</v>
      </c>
      <c r="E6" s="24">
        <v>0.78469999999999995</v>
      </c>
      <c r="F6" s="24">
        <v>0.82889999999999997</v>
      </c>
      <c r="G6" s="24">
        <v>0.80679999999999996</v>
      </c>
    </row>
    <row r="7" spans="1:7" x14ac:dyDescent="0.5">
      <c r="A7" s="41"/>
      <c r="B7" s="16" t="s">
        <v>31</v>
      </c>
      <c r="C7" s="24">
        <v>0.80649999999999999</v>
      </c>
      <c r="D7" s="24">
        <v>0.8</v>
      </c>
      <c r="E7" s="24">
        <v>0.72729999999999995</v>
      </c>
      <c r="F7" s="24">
        <v>0.89659999999999995</v>
      </c>
      <c r="G7" s="24">
        <v>0.81189999999999996</v>
      </c>
    </row>
    <row r="8" spans="1:7" x14ac:dyDescent="0.5">
      <c r="A8" s="41"/>
      <c r="B8" s="18" t="s">
        <v>8</v>
      </c>
      <c r="C8" s="11">
        <f>AVERAGE(C6:C7)</f>
        <v>0.80685000000000007</v>
      </c>
      <c r="D8" s="12">
        <f>AVERAGE(D6:D7)</f>
        <v>0.8</v>
      </c>
      <c r="E8" s="12">
        <f t="shared" ref="E8:G8" si="0">AVERAGE(E6:E7)</f>
        <v>0.75600000000000001</v>
      </c>
      <c r="F8" s="12">
        <f t="shared" si="0"/>
        <v>0.86274999999999991</v>
      </c>
      <c r="G8" s="11">
        <f t="shared" si="0"/>
        <v>0.80935000000000001</v>
      </c>
    </row>
    <row r="9" spans="1:7" x14ac:dyDescent="0.5">
      <c r="A9" s="42"/>
      <c r="B9" s="26" t="s">
        <v>9</v>
      </c>
      <c r="C9" s="13">
        <f>ABS(C6-C7)</f>
        <v>7.0000000000003393E-4</v>
      </c>
      <c r="D9" s="13">
        <f>ABS(D6-D7)</f>
        <v>0</v>
      </c>
      <c r="E9" s="14">
        <f t="shared" ref="E9:G9" si="1">ABS(E6-E7)</f>
        <v>5.7400000000000007E-2</v>
      </c>
      <c r="F9" s="14">
        <f t="shared" si="1"/>
        <v>6.7699999999999982E-2</v>
      </c>
      <c r="G9" s="13">
        <f t="shared" si="1"/>
        <v>5.0999999999999934E-3</v>
      </c>
    </row>
    <row r="10" spans="1:7" x14ac:dyDescent="0.5">
      <c r="A10" s="43" t="s">
        <v>32</v>
      </c>
      <c r="B10" s="16" t="s">
        <v>30</v>
      </c>
      <c r="C10" s="27">
        <v>0.7833</v>
      </c>
      <c r="D10" s="27">
        <v>0.77600000000000002</v>
      </c>
      <c r="E10" s="27">
        <v>0.76390000000000002</v>
      </c>
      <c r="F10" s="27">
        <v>0.80200000000000005</v>
      </c>
      <c r="G10" s="27">
        <v>0.78300000000000003</v>
      </c>
    </row>
    <row r="11" spans="1:7" x14ac:dyDescent="0.5">
      <c r="A11" s="41"/>
      <c r="B11" s="16" t="s">
        <v>31</v>
      </c>
      <c r="C11" s="24">
        <v>0.7419</v>
      </c>
      <c r="D11" s="24">
        <v>0.75</v>
      </c>
      <c r="E11" s="24">
        <v>0.72729999999999995</v>
      </c>
      <c r="F11" s="24">
        <v>0.75860000000000005</v>
      </c>
      <c r="G11" s="24">
        <v>0.7429</v>
      </c>
    </row>
    <row r="12" spans="1:7" x14ac:dyDescent="0.5">
      <c r="A12" s="41"/>
      <c r="B12" s="18" t="s">
        <v>8</v>
      </c>
      <c r="C12" s="11">
        <f>AVERAGE(C10:C11)</f>
        <v>0.76259999999999994</v>
      </c>
      <c r="D12" s="12">
        <f>AVERAGE(D10:D11)</f>
        <v>0.76300000000000001</v>
      </c>
      <c r="E12" s="12">
        <f t="shared" ref="E12:F12" si="2">AVERAGE(E10:E11)</f>
        <v>0.74560000000000004</v>
      </c>
      <c r="F12" s="12">
        <f t="shared" si="2"/>
        <v>0.78029999999999999</v>
      </c>
      <c r="G12" s="11">
        <f>AVERAGE(G10:G11)</f>
        <v>0.76295000000000002</v>
      </c>
    </row>
    <row r="13" spans="1:7" x14ac:dyDescent="0.5">
      <c r="A13" s="42"/>
      <c r="B13" s="26" t="s">
        <v>9</v>
      </c>
      <c r="C13" s="13">
        <f>ABS(C10-C11)</f>
        <v>4.1399999999999992E-2</v>
      </c>
      <c r="D13" s="14">
        <f>ABS(D10-D11)</f>
        <v>2.6000000000000023E-2</v>
      </c>
      <c r="E13" s="14">
        <f t="shared" ref="E13:G13" si="3">ABS(E10-E11)</f>
        <v>3.6600000000000077E-2</v>
      </c>
      <c r="F13" s="14">
        <f>ABS(F10-F11)</f>
        <v>4.3399999999999994E-2</v>
      </c>
      <c r="G13" s="13">
        <f t="shared" si="3"/>
        <v>4.0100000000000025E-2</v>
      </c>
    </row>
  </sheetData>
  <mergeCells count="3">
    <mergeCell ref="A2:A5"/>
    <mergeCell ref="A6:A9"/>
    <mergeCell ref="A10:A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1CA5-40FD-454A-B729-189810B9C505}">
  <dimension ref="A1:Q25"/>
  <sheetViews>
    <sheetView topLeftCell="A4" zoomScale="115" zoomScaleNormal="115" workbookViewId="0">
      <selection activeCell="C21" sqref="C21"/>
    </sheetView>
  </sheetViews>
  <sheetFormatPr defaultRowHeight="14.35" x14ac:dyDescent="0.5"/>
  <cols>
    <col min="1" max="1" width="33.8203125" customWidth="1"/>
    <col min="2" max="2" width="9.52734375" bestFit="1" customWidth="1"/>
    <col min="15" max="15" width="11.8203125" bestFit="1" customWidth="1"/>
    <col min="17" max="17" width="11.8203125" bestFit="1" customWidth="1"/>
  </cols>
  <sheetData>
    <row r="1" spans="1:17" x14ac:dyDescent="0.5">
      <c r="A1" s="3" t="s">
        <v>5</v>
      </c>
      <c r="B1" s="3"/>
      <c r="C1" s="3" t="s">
        <v>1</v>
      </c>
      <c r="D1" s="3" t="s">
        <v>33</v>
      </c>
      <c r="E1" s="18" t="s">
        <v>2</v>
      </c>
      <c r="F1" s="3" t="s">
        <v>11</v>
      </c>
      <c r="G1" s="3" t="s">
        <v>4</v>
      </c>
      <c r="L1" s="10"/>
      <c r="M1" s="10"/>
      <c r="N1" s="10"/>
      <c r="O1" s="10"/>
      <c r="P1" s="10"/>
      <c r="Q1" s="10"/>
    </row>
    <row r="2" spans="1:17" x14ac:dyDescent="0.5">
      <c r="A2" s="43" t="s">
        <v>35</v>
      </c>
      <c r="B2" s="16" t="s">
        <v>30</v>
      </c>
      <c r="C2" s="5">
        <v>0.7833</v>
      </c>
      <c r="D2" s="5">
        <v>0.77759999999999996</v>
      </c>
      <c r="E2" s="5">
        <v>0.77080000000000004</v>
      </c>
      <c r="F2" s="5">
        <v>0.79530000000000001</v>
      </c>
      <c r="G2" s="5">
        <v>0.78310000000000002</v>
      </c>
    </row>
    <row r="3" spans="1:17" x14ac:dyDescent="0.5">
      <c r="A3" s="41"/>
      <c r="B3" s="16" t="s">
        <v>31</v>
      </c>
      <c r="C3" s="5">
        <v>0.80649999999999999</v>
      </c>
      <c r="D3" s="5">
        <v>0.8</v>
      </c>
      <c r="E3" s="5">
        <v>0.72729999999999995</v>
      </c>
      <c r="F3" s="5">
        <v>0.89659999999999995</v>
      </c>
      <c r="G3" s="5">
        <v>0.81189999999999996</v>
      </c>
    </row>
    <row r="4" spans="1:17" x14ac:dyDescent="0.5">
      <c r="A4" s="41"/>
      <c r="B4" s="18" t="s">
        <v>37</v>
      </c>
      <c r="C4" s="12">
        <f>AVERAGE(C2:C3)</f>
        <v>0.79489999999999994</v>
      </c>
      <c r="D4" s="12">
        <f>AVERAGE(D2:D3)</f>
        <v>0.78879999999999995</v>
      </c>
      <c r="E4" s="12">
        <f t="shared" ref="E4:G4" si="0">AVERAGE(E2:E3)</f>
        <v>0.74904999999999999</v>
      </c>
      <c r="F4" s="12">
        <f t="shared" si="0"/>
        <v>0.84594999999999998</v>
      </c>
      <c r="G4" s="12">
        <f t="shared" si="0"/>
        <v>0.79749999999999999</v>
      </c>
    </row>
    <row r="5" spans="1:17" x14ac:dyDescent="0.5">
      <c r="A5" s="42"/>
      <c r="B5" s="26" t="s">
        <v>9</v>
      </c>
      <c r="C5" s="14">
        <f>ABS(C2-C3)</f>
        <v>2.3199999999999998E-2</v>
      </c>
      <c r="D5" s="14">
        <f>ABS(D2-D3)</f>
        <v>2.2400000000000087E-2</v>
      </c>
      <c r="E5" s="14">
        <f t="shared" ref="E5:G5" si="1">ABS(E2-E3)</f>
        <v>4.3500000000000094E-2</v>
      </c>
      <c r="F5" s="14">
        <f t="shared" si="1"/>
        <v>0.10129999999999995</v>
      </c>
      <c r="G5" s="14">
        <f t="shared" si="1"/>
        <v>2.8799999999999937E-2</v>
      </c>
    </row>
    <row r="6" spans="1:17" x14ac:dyDescent="0.5">
      <c r="A6" s="43" t="s">
        <v>25</v>
      </c>
      <c r="B6" s="16" t="s">
        <v>30</v>
      </c>
      <c r="C6" s="5">
        <v>0.79520000000000002</v>
      </c>
      <c r="D6" s="5">
        <v>0.78949999999999998</v>
      </c>
      <c r="E6" s="5">
        <v>0.78120000000000001</v>
      </c>
      <c r="F6" s="5">
        <v>0.80869999999999997</v>
      </c>
      <c r="G6" s="5">
        <v>0.79500000000000004</v>
      </c>
    </row>
    <row r="7" spans="1:17" x14ac:dyDescent="0.5">
      <c r="A7" s="41"/>
      <c r="B7" s="16" t="s">
        <v>31</v>
      </c>
      <c r="C7" s="5">
        <v>0.80649999999999999</v>
      </c>
      <c r="D7" s="5">
        <v>0.80649999999999999</v>
      </c>
      <c r="E7" s="5">
        <v>0.75760000000000005</v>
      </c>
      <c r="F7" s="5">
        <v>0.86209999999999998</v>
      </c>
      <c r="G7" s="5">
        <v>0.80979999999999996</v>
      </c>
    </row>
    <row r="8" spans="1:17" x14ac:dyDescent="0.5">
      <c r="A8" s="41"/>
      <c r="B8" s="18" t="s">
        <v>8</v>
      </c>
      <c r="C8" s="12">
        <f>AVERAGE(C6:C7)</f>
        <v>0.80085000000000006</v>
      </c>
      <c r="D8" s="12">
        <f>AVERAGE(D6:D7)</f>
        <v>0.79800000000000004</v>
      </c>
      <c r="E8" s="12">
        <f t="shared" ref="E8:G8" si="2">AVERAGE(E6:E7)</f>
        <v>0.76940000000000008</v>
      </c>
      <c r="F8" s="12">
        <f t="shared" si="2"/>
        <v>0.83539999999999992</v>
      </c>
      <c r="G8" s="12">
        <f t="shared" si="2"/>
        <v>0.8024</v>
      </c>
    </row>
    <row r="9" spans="1:17" x14ac:dyDescent="0.5">
      <c r="A9" s="42"/>
      <c r="B9" s="26" t="s">
        <v>9</v>
      </c>
      <c r="C9" s="14">
        <f>ABS(C6-C7)</f>
        <v>1.1299999999999977E-2</v>
      </c>
      <c r="D9" s="14">
        <f>ABS(D6-D7)</f>
        <v>1.7000000000000015E-2</v>
      </c>
      <c r="E9" s="13">
        <f t="shared" ref="E9:G9" si="3">ABS(E6-E7)</f>
        <v>2.3599999999999954E-2</v>
      </c>
      <c r="F9" s="14">
        <f t="shared" si="3"/>
        <v>5.3400000000000003E-2</v>
      </c>
      <c r="G9" s="14">
        <f t="shared" si="3"/>
        <v>1.4799999999999924E-2</v>
      </c>
    </row>
    <row r="10" spans="1:17" x14ac:dyDescent="0.5">
      <c r="A10" s="43" t="s">
        <v>26</v>
      </c>
      <c r="B10" s="16" t="s">
        <v>30</v>
      </c>
      <c r="C10" s="5">
        <v>0.83279999999999998</v>
      </c>
      <c r="D10" s="5">
        <v>0.82689999999999997</v>
      </c>
      <c r="E10" s="5">
        <v>0.8125</v>
      </c>
      <c r="F10" s="5">
        <v>0.85229999999999995</v>
      </c>
      <c r="G10" s="5">
        <v>0.83240000000000003</v>
      </c>
    </row>
    <row r="11" spans="1:17" x14ac:dyDescent="0.5">
      <c r="A11" s="41"/>
      <c r="B11" s="16" t="s">
        <v>31</v>
      </c>
      <c r="C11" s="5">
        <v>0.80649999999999999</v>
      </c>
      <c r="D11" s="5">
        <v>0.80649999999999999</v>
      </c>
      <c r="E11" s="5">
        <v>0.75760000000000005</v>
      </c>
      <c r="F11" s="5">
        <v>0.86209999999999998</v>
      </c>
      <c r="G11" s="5">
        <v>0.80979999999999996</v>
      </c>
    </row>
    <row r="12" spans="1:17" x14ac:dyDescent="0.5">
      <c r="A12" s="41"/>
      <c r="B12" s="18" t="s">
        <v>8</v>
      </c>
      <c r="C12" s="12">
        <f>AVERAGE(C10:C11)</f>
        <v>0.81964999999999999</v>
      </c>
      <c r="D12" s="12">
        <f>AVERAGE(D10:D11)</f>
        <v>0.81669999999999998</v>
      </c>
      <c r="E12" s="12">
        <f t="shared" ref="E12:G12" si="4">AVERAGE(E10:E11)</f>
        <v>0.78505000000000003</v>
      </c>
      <c r="F12" s="11">
        <f t="shared" si="4"/>
        <v>0.85719999999999996</v>
      </c>
      <c r="G12" s="12">
        <f t="shared" si="4"/>
        <v>0.82109999999999994</v>
      </c>
    </row>
    <row r="13" spans="1:17" x14ac:dyDescent="0.5">
      <c r="A13" s="42"/>
      <c r="B13" s="26" t="s">
        <v>9</v>
      </c>
      <c r="C13" s="14">
        <f>ABS(C10-C11)</f>
        <v>2.629999999999999E-2</v>
      </c>
      <c r="D13" s="14">
        <f>ABS(D10-D11)</f>
        <v>2.0399999999999974E-2</v>
      </c>
      <c r="E13" s="14">
        <f t="shared" ref="E13:G13" si="5">ABS(E10-E11)</f>
        <v>5.4899999999999949E-2</v>
      </c>
      <c r="F13" s="13">
        <f t="shared" si="5"/>
        <v>9.8000000000000309E-3</v>
      </c>
      <c r="G13" s="14">
        <f t="shared" si="5"/>
        <v>2.2600000000000064E-2</v>
      </c>
    </row>
    <row r="14" spans="1:17" x14ac:dyDescent="0.5">
      <c r="A14" s="43" t="s">
        <v>36</v>
      </c>
      <c r="B14" s="16" t="s">
        <v>30</v>
      </c>
      <c r="C14" s="5">
        <v>0.80889999999999995</v>
      </c>
      <c r="D14" s="5">
        <v>0.80349999999999999</v>
      </c>
      <c r="E14" s="5">
        <v>0.79510000000000003</v>
      </c>
      <c r="F14" s="5">
        <v>0.82210000000000005</v>
      </c>
      <c r="G14" s="5">
        <v>0.80859999999999999</v>
      </c>
    </row>
    <row r="15" spans="1:17" x14ac:dyDescent="0.5">
      <c r="A15" s="41"/>
      <c r="B15" s="16" t="s">
        <v>31</v>
      </c>
      <c r="C15" s="5">
        <v>0.80649999999999999</v>
      </c>
      <c r="D15" s="5">
        <v>0.80649999999999999</v>
      </c>
      <c r="E15" s="5">
        <v>0.75760000000000005</v>
      </c>
      <c r="F15" s="5">
        <v>0.86209999999999998</v>
      </c>
      <c r="G15" s="5">
        <v>0.80979999999999996</v>
      </c>
    </row>
    <row r="16" spans="1:17" x14ac:dyDescent="0.5">
      <c r="A16" s="41"/>
      <c r="B16" s="18" t="s">
        <v>8</v>
      </c>
      <c r="C16" s="12">
        <f>AVERAGE(C14:C15)</f>
        <v>0.80769999999999997</v>
      </c>
      <c r="D16" s="12">
        <f>AVERAGE(D14:D15)</f>
        <v>0.80499999999999994</v>
      </c>
      <c r="E16" s="12">
        <f t="shared" ref="E16:G16" si="6">AVERAGE(E14:E15)</f>
        <v>0.7763500000000001</v>
      </c>
      <c r="F16" s="12">
        <f t="shared" si="6"/>
        <v>0.84210000000000007</v>
      </c>
      <c r="G16" s="12">
        <f t="shared" si="6"/>
        <v>0.80919999999999992</v>
      </c>
    </row>
    <row r="17" spans="1:7" x14ac:dyDescent="0.5">
      <c r="A17" s="42"/>
      <c r="B17" s="26" t="s">
        <v>9</v>
      </c>
      <c r="C17" s="14">
        <f>ABS(C14-C15)</f>
        <v>2.3999999999999577E-3</v>
      </c>
      <c r="D17" s="14">
        <f>ABS(D14-D15)</f>
        <v>3.0000000000000027E-3</v>
      </c>
      <c r="E17" s="14">
        <f t="shared" ref="E17:G17" si="7">ABS(E14-E15)</f>
        <v>3.7499999999999978E-2</v>
      </c>
      <c r="F17" s="14">
        <f t="shared" si="7"/>
        <v>3.9999999999999925E-2</v>
      </c>
      <c r="G17" s="13">
        <f t="shared" si="7"/>
        <v>1.1999999999999789E-3</v>
      </c>
    </row>
    <row r="18" spans="1:7" x14ac:dyDescent="0.5">
      <c r="A18" s="43" t="s">
        <v>28</v>
      </c>
      <c r="B18" s="16" t="s">
        <v>30</v>
      </c>
      <c r="C18" s="5">
        <v>0.82250000000000001</v>
      </c>
      <c r="D18" s="5">
        <v>0.81879999999999997</v>
      </c>
      <c r="E18" s="5">
        <v>0.81599999999999995</v>
      </c>
      <c r="F18" s="5">
        <v>0.82889999999999997</v>
      </c>
      <c r="G18" s="5">
        <v>0.82240000000000002</v>
      </c>
    </row>
    <row r="19" spans="1:7" x14ac:dyDescent="0.5">
      <c r="A19" s="41"/>
      <c r="B19" s="16" t="s">
        <v>31</v>
      </c>
      <c r="C19" s="5">
        <v>0.8226</v>
      </c>
      <c r="D19" s="5">
        <v>0.82540000000000002</v>
      </c>
      <c r="E19" s="5">
        <v>0.78790000000000004</v>
      </c>
      <c r="F19" s="5">
        <v>0.86209999999999998</v>
      </c>
      <c r="G19" s="5">
        <v>0.82499999999999996</v>
      </c>
    </row>
    <row r="20" spans="1:7" x14ac:dyDescent="0.5">
      <c r="A20" s="41"/>
      <c r="B20" s="18" t="s">
        <v>8</v>
      </c>
      <c r="C20" s="11">
        <f>AVERAGE(C18:C19)</f>
        <v>0.82255</v>
      </c>
      <c r="D20" s="11">
        <f>AVERAGE(D18:D19)</f>
        <v>0.82210000000000005</v>
      </c>
      <c r="E20" s="11">
        <f t="shared" ref="E20:G20" si="8">AVERAGE(E18:E19)</f>
        <v>0.80194999999999994</v>
      </c>
      <c r="F20" s="12">
        <f t="shared" si="8"/>
        <v>0.84549999999999992</v>
      </c>
      <c r="G20" s="11">
        <f t="shared" si="8"/>
        <v>0.82369999999999999</v>
      </c>
    </row>
    <row r="21" spans="1:7" x14ac:dyDescent="0.5">
      <c r="A21" s="42"/>
      <c r="B21" s="26" t="s">
        <v>9</v>
      </c>
      <c r="C21" s="35">
        <f>ABS(C18-C19)</f>
        <v>9.9999999999988987E-5</v>
      </c>
      <c r="D21" s="13">
        <f>ABS(D18-D19)</f>
        <v>6.6000000000000503E-3</v>
      </c>
      <c r="E21" s="13">
        <f t="shared" ref="E21:G21" si="9">ABS(E18-E19)</f>
        <v>2.8099999999999903E-2</v>
      </c>
      <c r="F21" s="14">
        <f t="shared" si="9"/>
        <v>3.3200000000000007E-2</v>
      </c>
      <c r="G21" s="13">
        <f t="shared" si="9"/>
        <v>2.5999999999999357E-3</v>
      </c>
    </row>
    <row r="22" spans="1:7" x14ac:dyDescent="0.5">
      <c r="A22" s="43" t="s">
        <v>29</v>
      </c>
      <c r="B22" s="16" t="s">
        <v>30</v>
      </c>
      <c r="C22" s="5">
        <v>0.84130000000000005</v>
      </c>
      <c r="D22" s="5">
        <v>0.83830000000000005</v>
      </c>
      <c r="E22" s="5">
        <v>0.83679999999999999</v>
      </c>
      <c r="F22" s="5">
        <v>0.84560000000000002</v>
      </c>
      <c r="G22" s="5">
        <v>0.84119999999999995</v>
      </c>
    </row>
    <row r="23" spans="1:7" x14ac:dyDescent="0.5">
      <c r="A23" s="41"/>
      <c r="B23" s="16" t="s">
        <v>31</v>
      </c>
      <c r="C23" s="5">
        <v>0.7742</v>
      </c>
      <c r="D23" s="5">
        <v>0.7742</v>
      </c>
      <c r="E23" s="5">
        <v>0.72729999999999995</v>
      </c>
      <c r="F23" s="5">
        <v>0.8276</v>
      </c>
      <c r="G23" s="5">
        <v>0.77739999999999998</v>
      </c>
    </row>
    <row r="24" spans="1:7" x14ac:dyDescent="0.5">
      <c r="A24" s="41"/>
      <c r="B24" s="18" t="s">
        <v>8</v>
      </c>
      <c r="C24" s="12">
        <f>AVERAGE(C22:C23)</f>
        <v>0.80774999999999997</v>
      </c>
      <c r="D24" s="12">
        <f>AVERAGE(D22:D23)</f>
        <v>0.80625000000000002</v>
      </c>
      <c r="E24" s="12">
        <f t="shared" ref="E24:G24" si="10">AVERAGE(E22:E23)</f>
        <v>0.78204999999999991</v>
      </c>
      <c r="F24" s="12">
        <f t="shared" si="10"/>
        <v>0.83660000000000001</v>
      </c>
      <c r="G24" s="12">
        <f t="shared" si="10"/>
        <v>0.80929999999999991</v>
      </c>
    </row>
    <row r="25" spans="1:7" x14ac:dyDescent="0.5">
      <c r="A25" s="42"/>
      <c r="B25" s="26" t="s">
        <v>9</v>
      </c>
      <c r="C25" s="14">
        <f>ABS(C22-C23)</f>
        <v>6.7100000000000048E-2</v>
      </c>
      <c r="D25" s="14">
        <f>ABS(D22-D23)</f>
        <v>6.4100000000000046E-2</v>
      </c>
      <c r="E25" s="14">
        <f t="shared" ref="E25:G25" si="11">ABS(E22-E23)</f>
        <v>0.10950000000000004</v>
      </c>
      <c r="F25" s="14">
        <f t="shared" si="11"/>
        <v>1.8000000000000016E-2</v>
      </c>
      <c r="G25" s="14">
        <f t="shared" si="11"/>
        <v>6.3799999999999968E-2</v>
      </c>
    </row>
  </sheetData>
  <mergeCells count="6">
    <mergeCell ref="A22:A25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E57D-CD25-418C-94D1-37A6A1361641}">
  <dimension ref="A1:K25"/>
  <sheetViews>
    <sheetView topLeftCell="A3" zoomScale="115" zoomScaleNormal="115" workbookViewId="0">
      <selection activeCell="D2" sqref="D2:D25"/>
    </sheetView>
  </sheetViews>
  <sheetFormatPr defaultRowHeight="14.35" x14ac:dyDescent="0.5"/>
  <cols>
    <col min="1" max="1" width="32.46875" customWidth="1"/>
    <col min="2" max="2" width="9.52734375" bestFit="1" customWidth="1"/>
    <col min="5" max="5" width="9.5859375" bestFit="1" customWidth="1"/>
    <col min="6" max="6" width="9.8203125" bestFit="1" customWidth="1"/>
    <col min="10" max="10" width="19.46875" customWidth="1"/>
    <col min="11" max="11" width="26.703125" customWidth="1"/>
    <col min="12" max="12" width="16.52734375" customWidth="1"/>
  </cols>
  <sheetData>
    <row r="1" spans="1:11" x14ac:dyDescent="0.5">
      <c r="A1" s="3" t="s">
        <v>5</v>
      </c>
      <c r="B1" s="3"/>
      <c r="C1" s="3" t="s">
        <v>1</v>
      </c>
      <c r="D1" s="3" t="s">
        <v>33</v>
      </c>
      <c r="E1" s="3" t="s">
        <v>2</v>
      </c>
      <c r="F1" s="3" t="s">
        <v>3</v>
      </c>
      <c r="G1" s="3" t="s">
        <v>4</v>
      </c>
      <c r="J1" s="15"/>
      <c r="K1" s="15"/>
    </row>
    <row r="2" spans="1:11" x14ac:dyDescent="0.5">
      <c r="A2" s="43" t="s">
        <v>35</v>
      </c>
      <c r="B2" s="16" t="s">
        <v>30</v>
      </c>
      <c r="C2" s="5">
        <v>0.79520000000000002</v>
      </c>
      <c r="D2" s="5">
        <v>0.77529999999999999</v>
      </c>
      <c r="E2" s="5">
        <v>0.71879999999999999</v>
      </c>
      <c r="F2" s="5">
        <v>0.86909999999999998</v>
      </c>
      <c r="G2" s="5">
        <v>0.79390000000000005</v>
      </c>
      <c r="J2" s="15"/>
      <c r="K2" s="15"/>
    </row>
    <row r="3" spans="1:11" x14ac:dyDescent="0.5">
      <c r="A3" s="41"/>
      <c r="B3" s="16" t="s">
        <v>31</v>
      </c>
      <c r="C3" s="5">
        <v>0.80649999999999999</v>
      </c>
      <c r="D3" s="5">
        <v>0.80649999999999999</v>
      </c>
      <c r="E3" s="5">
        <v>0.75760000000000005</v>
      </c>
      <c r="F3" s="5">
        <v>0.86209999999999998</v>
      </c>
      <c r="G3" s="5">
        <v>0.80979999999999996</v>
      </c>
      <c r="J3" s="15"/>
      <c r="K3" s="15"/>
    </row>
    <row r="4" spans="1:11" x14ac:dyDescent="0.5">
      <c r="A4" s="41"/>
      <c r="B4" s="18" t="s">
        <v>37</v>
      </c>
      <c r="C4" s="6">
        <f>AVERAGE(C2:C3)</f>
        <v>0.80085000000000006</v>
      </c>
      <c r="D4" s="6">
        <f>AVERAGE(D2:D3)</f>
        <v>0.79089999999999994</v>
      </c>
      <c r="E4" s="6">
        <f t="shared" ref="E4:G4" si="0">AVERAGE(E2:E3)</f>
        <v>0.73819999999999997</v>
      </c>
      <c r="F4" s="6">
        <f t="shared" si="0"/>
        <v>0.86559999999999993</v>
      </c>
      <c r="G4" s="6">
        <f t="shared" si="0"/>
        <v>0.80184999999999995</v>
      </c>
    </row>
    <row r="5" spans="1:11" x14ac:dyDescent="0.5">
      <c r="A5" s="42"/>
      <c r="B5" s="26" t="s">
        <v>9</v>
      </c>
      <c r="C5" s="7">
        <f>ABS(C2-C3)</f>
        <v>1.1299999999999977E-2</v>
      </c>
      <c r="D5" s="7">
        <f>ABS(D2-D3)</f>
        <v>3.1200000000000006E-2</v>
      </c>
      <c r="E5" s="7">
        <f t="shared" ref="E5:G5" si="1">ABS(E2-E3)</f>
        <v>3.8800000000000057E-2</v>
      </c>
      <c r="F5" s="7">
        <f t="shared" si="1"/>
        <v>7.0000000000000062E-3</v>
      </c>
      <c r="G5" s="7">
        <f t="shared" si="1"/>
        <v>1.5899999999999914E-2</v>
      </c>
    </row>
    <row r="6" spans="1:11" x14ac:dyDescent="0.5">
      <c r="A6" s="43" t="s">
        <v>25</v>
      </c>
      <c r="B6" s="16" t="s">
        <v>30</v>
      </c>
      <c r="C6" s="5">
        <v>0.80889999999999995</v>
      </c>
      <c r="D6" s="5">
        <v>0.80759999999999998</v>
      </c>
      <c r="E6" s="5">
        <v>0.81599999999999995</v>
      </c>
      <c r="F6" s="5">
        <v>0.80200000000000005</v>
      </c>
      <c r="G6" s="5">
        <v>0.80900000000000005</v>
      </c>
    </row>
    <row r="7" spans="1:11" x14ac:dyDescent="0.5">
      <c r="A7" s="41"/>
      <c r="B7" s="16" t="s">
        <v>31</v>
      </c>
      <c r="C7" s="5">
        <v>0.7742</v>
      </c>
      <c r="D7" s="5">
        <v>0.78120000000000001</v>
      </c>
      <c r="E7" s="5">
        <v>0.75760000000000005</v>
      </c>
      <c r="F7" s="5">
        <v>0.79310000000000003</v>
      </c>
      <c r="G7" s="5">
        <v>0.77529999999999999</v>
      </c>
    </row>
    <row r="8" spans="1:11" x14ac:dyDescent="0.5">
      <c r="A8" s="41"/>
      <c r="B8" s="18" t="s">
        <v>8</v>
      </c>
      <c r="C8" s="6">
        <f>AVERAGE(C6:C7)</f>
        <v>0.79154999999999998</v>
      </c>
      <c r="D8" s="6">
        <f>AVERAGE(D6:D7)</f>
        <v>0.7944</v>
      </c>
      <c r="E8" s="6">
        <f t="shared" ref="E8:G8" si="2">AVERAGE(E6:E7)</f>
        <v>0.78679999999999994</v>
      </c>
      <c r="F8" s="6">
        <f t="shared" si="2"/>
        <v>0.79754999999999998</v>
      </c>
      <c r="G8" s="6">
        <f t="shared" si="2"/>
        <v>0.79215000000000002</v>
      </c>
    </row>
    <row r="9" spans="1:11" x14ac:dyDescent="0.5">
      <c r="A9" s="42"/>
      <c r="B9" s="26" t="s">
        <v>9</v>
      </c>
      <c r="C9" s="7">
        <f>ABS(C6-C7)</f>
        <v>3.4699999999999953E-2</v>
      </c>
      <c r="D9" s="7">
        <f>ABS(D6-D7)</f>
        <v>2.6399999999999979E-2</v>
      </c>
      <c r="E9" s="7">
        <f t="shared" ref="E9:G9" si="3">ABS(E6-E7)</f>
        <v>5.8399999999999896E-2</v>
      </c>
      <c r="F9" s="7">
        <f t="shared" si="3"/>
        <v>8.900000000000019E-3</v>
      </c>
      <c r="G9" s="7">
        <f t="shared" si="3"/>
        <v>3.3700000000000063E-2</v>
      </c>
      <c r="J9" s="16"/>
      <c r="K9" s="16"/>
    </row>
    <row r="10" spans="1:11" x14ac:dyDescent="0.5">
      <c r="A10" s="43" t="s">
        <v>26</v>
      </c>
      <c r="B10" s="16" t="s">
        <v>30</v>
      </c>
      <c r="C10" s="5">
        <v>0.82589999999999997</v>
      </c>
      <c r="D10" s="5">
        <v>0.82110000000000005</v>
      </c>
      <c r="E10" s="5">
        <v>0.8125</v>
      </c>
      <c r="F10" s="5">
        <v>0.83889999999999998</v>
      </c>
      <c r="G10" s="5">
        <v>0.82569999999999999</v>
      </c>
      <c r="J10" s="16"/>
      <c r="K10" s="16"/>
    </row>
    <row r="11" spans="1:11" x14ac:dyDescent="0.5">
      <c r="A11" s="41"/>
      <c r="B11" s="16" t="s">
        <v>31</v>
      </c>
      <c r="C11" s="5">
        <v>0.7903</v>
      </c>
      <c r="D11" s="5">
        <v>0.78690000000000004</v>
      </c>
      <c r="E11" s="5">
        <v>0.72729999999999995</v>
      </c>
      <c r="F11" s="5">
        <v>0.86209999999999998</v>
      </c>
      <c r="G11" s="5">
        <v>0.79469999999999996</v>
      </c>
      <c r="J11" s="16"/>
      <c r="K11" s="16"/>
    </row>
    <row r="12" spans="1:11" x14ac:dyDescent="0.5">
      <c r="A12" s="41"/>
      <c r="B12" s="18" t="s">
        <v>8</v>
      </c>
      <c r="C12" s="6">
        <f>AVERAGE(C10:C11)</f>
        <v>0.80810000000000004</v>
      </c>
      <c r="D12" s="6">
        <f>AVERAGE(D10:D11)</f>
        <v>0.80400000000000005</v>
      </c>
      <c r="E12" s="6">
        <f t="shared" ref="E12:G12" si="4">AVERAGE(E10:E11)</f>
        <v>0.76990000000000003</v>
      </c>
      <c r="F12" s="6">
        <f t="shared" si="4"/>
        <v>0.85050000000000003</v>
      </c>
      <c r="G12" s="6">
        <f t="shared" si="4"/>
        <v>0.81020000000000003</v>
      </c>
      <c r="J12" s="16"/>
      <c r="K12" s="16"/>
    </row>
    <row r="13" spans="1:11" x14ac:dyDescent="0.5">
      <c r="A13" s="42"/>
      <c r="B13" s="26" t="s">
        <v>9</v>
      </c>
      <c r="C13" s="7">
        <f>ABS(C10-C11)</f>
        <v>3.5599999999999965E-2</v>
      </c>
      <c r="D13" s="7">
        <f>ABS(D10-D11)</f>
        <v>3.4200000000000008E-2</v>
      </c>
      <c r="E13" s="7">
        <f t="shared" ref="E13:G13" si="5">ABS(E10-E11)</f>
        <v>8.5200000000000053E-2</v>
      </c>
      <c r="F13" s="7">
        <f t="shared" si="5"/>
        <v>2.3199999999999998E-2</v>
      </c>
      <c r="G13" s="7">
        <f t="shared" si="5"/>
        <v>3.1000000000000028E-2</v>
      </c>
      <c r="J13" s="16"/>
      <c r="K13" s="16"/>
    </row>
    <row r="14" spans="1:11" x14ac:dyDescent="0.5">
      <c r="A14" s="43" t="s">
        <v>36</v>
      </c>
      <c r="B14" s="16" t="s">
        <v>30</v>
      </c>
      <c r="C14" s="5">
        <v>0.80379999999999996</v>
      </c>
      <c r="D14" s="5">
        <v>0.79200000000000004</v>
      </c>
      <c r="E14" s="5">
        <v>0.76039999999999996</v>
      </c>
      <c r="F14" s="5">
        <v>0.84560000000000002</v>
      </c>
      <c r="G14" s="5">
        <v>0.80300000000000005</v>
      </c>
      <c r="J14" s="16"/>
      <c r="K14" s="16"/>
    </row>
    <row r="15" spans="1:11" x14ac:dyDescent="0.5">
      <c r="A15" s="41"/>
      <c r="B15" s="16" t="s">
        <v>31</v>
      </c>
      <c r="C15" s="5">
        <v>0.7581</v>
      </c>
      <c r="D15" s="5">
        <v>0.76190000000000002</v>
      </c>
      <c r="E15" s="5">
        <v>0.72729999999999995</v>
      </c>
      <c r="F15" s="5">
        <v>0.79310000000000003</v>
      </c>
      <c r="G15" s="5">
        <v>0.76019999999999999</v>
      </c>
    </row>
    <row r="16" spans="1:11" x14ac:dyDescent="0.5">
      <c r="A16" s="41"/>
      <c r="B16" s="18" t="s">
        <v>8</v>
      </c>
      <c r="C16" s="6">
        <f>AVERAGE(C14:C15)</f>
        <v>0.78095000000000003</v>
      </c>
      <c r="D16" s="6">
        <f>AVERAGE(D14:D15)</f>
        <v>0.77695000000000003</v>
      </c>
      <c r="E16" s="6">
        <f t="shared" ref="E16:G16" si="6">AVERAGE(E14:E15)</f>
        <v>0.7438499999999999</v>
      </c>
      <c r="F16" s="6">
        <f t="shared" si="6"/>
        <v>0.81935000000000002</v>
      </c>
      <c r="G16" s="6">
        <f t="shared" si="6"/>
        <v>0.78160000000000007</v>
      </c>
    </row>
    <row r="17" spans="1:7" x14ac:dyDescent="0.5">
      <c r="A17" s="42"/>
      <c r="B17" s="26" t="s">
        <v>9</v>
      </c>
      <c r="C17" s="7">
        <f>ABS(C14-C15)</f>
        <v>4.5699999999999963E-2</v>
      </c>
      <c r="D17" s="7">
        <f>ABS(D14-D15)</f>
        <v>3.0100000000000016E-2</v>
      </c>
      <c r="E17" s="7">
        <f t="shared" ref="E17:G17" si="7">ABS(E14-E15)</f>
        <v>3.3100000000000018E-2</v>
      </c>
      <c r="F17" s="7">
        <f t="shared" si="7"/>
        <v>5.2499999999999991E-2</v>
      </c>
      <c r="G17" s="7">
        <f t="shared" si="7"/>
        <v>4.280000000000006E-2</v>
      </c>
    </row>
    <row r="18" spans="1:7" x14ac:dyDescent="0.5">
      <c r="A18" s="43" t="s">
        <v>28</v>
      </c>
      <c r="B18" s="16" t="s">
        <v>30</v>
      </c>
      <c r="C18" s="5">
        <v>0.80379999999999996</v>
      </c>
      <c r="D18" s="5">
        <v>0.7913</v>
      </c>
      <c r="E18" s="5">
        <v>0.75690000000000002</v>
      </c>
      <c r="F18" s="5">
        <v>0.84899999999999998</v>
      </c>
      <c r="G18" s="5">
        <v>0.80300000000000005</v>
      </c>
    </row>
    <row r="19" spans="1:7" x14ac:dyDescent="0.5">
      <c r="A19" s="41"/>
      <c r="B19" s="16" t="s">
        <v>31</v>
      </c>
      <c r="C19" s="5">
        <v>0.7742</v>
      </c>
      <c r="D19" s="5">
        <v>0.76670000000000005</v>
      </c>
      <c r="E19" s="5">
        <v>0.69699999999999995</v>
      </c>
      <c r="F19" s="5">
        <v>0.86209999999999998</v>
      </c>
      <c r="G19" s="5">
        <v>0.77949999999999997</v>
      </c>
    </row>
    <row r="20" spans="1:7" x14ac:dyDescent="0.5">
      <c r="A20" s="41"/>
      <c r="B20" s="18" t="s">
        <v>8</v>
      </c>
      <c r="C20" s="6">
        <f>AVERAGE(C18:C19)</f>
        <v>0.78899999999999992</v>
      </c>
      <c r="D20" s="6">
        <f>AVERAGE(D18:D19)</f>
        <v>0.77900000000000003</v>
      </c>
      <c r="E20" s="6">
        <f t="shared" ref="E20:G20" si="8">AVERAGE(E18:E19)</f>
        <v>0.72694999999999999</v>
      </c>
      <c r="F20" s="6">
        <f t="shared" si="8"/>
        <v>0.85555000000000003</v>
      </c>
      <c r="G20" s="6">
        <f t="shared" si="8"/>
        <v>0.79125000000000001</v>
      </c>
    </row>
    <row r="21" spans="1:7" x14ac:dyDescent="0.5">
      <c r="A21" s="42"/>
      <c r="B21" s="26" t="s">
        <v>9</v>
      </c>
      <c r="C21" s="7">
        <f>ABS(C18-C19)</f>
        <v>2.959999999999996E-2</v>
      </c>
      <c r="D21" s="7">
        <f>ABS(D18-D19)</f>
        <v>2.4599999999999955E-2</v>
      </c>
      <c r="E21" s="7">
        <f t="shared" ref="E21:G21" si="9">ABS(E18-E19)</f>
        <v>5.9900000000000064E-2</v>
      </c>
      <c r="F21" s="7">
        <f t="shared" si="9"/>
        <v>1.3100000000000001E-2</v>
      </c>
      <c r="G21" s="7">
        <f t="shared" si="9"/>
        <v>2.3500000000000076E-2</v>
      </c>
    </row>
    <row r="22" spans="1:7" x14ac:dyDescent="0.5">
      <c r="A22" s="43" t="s">
        <v>29</v>
      </c>
      <c r="B22" s="16" t="s">
        <v>30</v>
      </c>
      <c r="C22" s="5">
        <v>0.8276</v>
      </c>
      <c r="D22" s="5">
        <v>0.82250000000000001</v>
      </c>
      <c r="E22" s="5">
        <v>0.8125</v>
      </c>
      <c r="F22" s="5">
        <v>0.84230000000000005</v>
      </c>
      <c r="G22" s="5">
        <v>0.82740000000000002</v>
      </c>
    </row>
    <row r="23" spans="1:7" x14ac:dyDescent="0.5">
      <c r="A23" s="41"/>
      <c r="B23" s="16" t="s">
        <v>31</v>
      </c>
      <c r="C23" s="5">
        <v>0.7903</v>
      </c>
      <c r="D23" s="5">
        <v>0.78690000000000004</v>
      </c>
      <c r="E23" s="5">
        <v>0.72729999999999995</v>
      </c>
      <c r="F23" s="5">
        <v>0.86209999999999998</v>
      </c>
      <c r="G23" s="5">
        <v>0.79469999999999996</v>
      </c>
    </row>
    <row r="24" spans="1:7" x14ac:dyDescent="0.5">
      <c r="A24" s="41"/>
      <c r="B24" s="18" t="s">
        <v>8</v>
      </c>
      <c r="C24" s="9">
        <f>AVERAGE(C22:C23)</f>
        <v>0.80895000000000006</v>
      </c>
      <c r="D24" s="6">
        <f>AVERAGE(D22:D23)</f>
        <v>0.80469999999999997</v>
      </c>
      <c r="E24" s="6">
        <f t="shared" ref="E24:G24" si="10">AVERAGE(E22:E23)</f>
        <v>0.76990000000000003</v>
      </c>
      <c r="F24" s="6">
        <f t="shared" si="10"/>
        <v>0.85220000000000007</v>
      </c>
      <c r="G24" s="9">
        <f t="shared" si="10"/>
        <v>0.81105000000000005</v>
      </c>
    </row>
    <row r="25" spans="1:7" x14ac:dyDescent="0.5">
      <c r="A25" s="42"/>
      <c r="B25" s="26" t="s">
        <v>9</v>
      </c>
      <c r="C25" s="7">
        <f>ABS(C22-C23)</f>
        <v>3.73E-2</v>
      </c>
      <c r="D25" s="7">
        <f>ABS(D22-D23)</f>
        <v>3.5599999999999965E-2</v>
      </c>
      <c r="E25" s="7">
        <f t="shared" ref="E25:G25" si="11">ABS(E22-E23)</f>
        <v>8.5200000000000053E-2</v>
      </c>
      <c r="F25" s="7">
        <f t="shared" si="11"/>
        <v>1.9799999999999929E-2</v>
      </c>
      <c r="G25" s="7">
        <f t="shared" si="11"/>
        <v>3.2700000000000062E-2</v>
      </c>
    </row>
  </sheetData>
  <mergeCells count="6">
    <mergeCell ref="A22:A25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0B75-0B52-4D49-90E7-2D14256649B4}">
  <dimension ref="A1:G25"/>
  <sheetViews>
    <sheetView zoomScale="115" zoomScaleNormal="115" workbookViewId="0">
      <selection activeCell="X17" sqref="X17"/>
    </sheetView>
  </sheetViews>
  <sheetFormatPr defaultRowHeight="14.35" x14ac:dyDescent="0.5"/>
  <cols>
    <col min="1" max="1" width="32.46875" bestFit="1" customWidth="1"/>
    <col min="2" max="2" width="9.52734375" bestFit="1" customWidth="1"/>
    <col min="3" max="4" width="10.05859375" customWidth="1"/>
    <col min="5" max="5" width="9.8203125" customWidth="1"/>
    <col min="6" max="6" width="10.5859375" customWidth="1"/>
  </cols>
  <sheetData>
    <row r="1" spans="1:7" x14ac:dyDescent="0.5">
      <c r="A1" s="3" t="s">
        <v>5</v>
      </c>
      <c r="B1" s="3"/>
      <c r="C1" s="3" t="s">
        <v>1</v>
      </c>
      <c r="D1" s="3" t="s">
        <v>33</v>
      </c>
      <c r="E1" s="3" t="s">
        <v>2</v>
      </c>
      <c r="F1" s="3" t="s">
        <v>3</v>
      </c>
      <c r="G1" s="3" t="s">
        <v>4</v>
      </c>
    </row>
    <row r="2" spans="1:7" x14ac:dyDescent="0.5">
      <c r="A2" s="43" t="s">
        <v>35</v>
      </c>
      <c r="B2" s="16" t="s">
        <v>30</v>
      </c>
      <c r="C2" s="5">
        <v>0.80720000000000003</v>
      </c>
      <c r="D2" s="5">
        <v>0.79339999999999999</v>
      </c>
      <c r="E2" s="5">
        <v>0.74309999999999998</v>
      </c>
      <c r="F2" s="5">
        <v>0.86909999999999998</v>
      </c>
      <c r="G2" s="5">
        <v>0.80610000000000004</v>
      </c>
    </row>
    <row r="3" spans="1:7" x14ac:dyDescent="0.5">
      <c r="A3" s="41"/>
      <c r="B3" s="16" t="s">
        <v>31</v>
      </c>
      <c r="C3" s="5">
        <v>0.7742</v>
      </c>
      <c r="D3" s="5">
        <v>0.7742</v>
      </c>
      <c r="E3" s="5">
        <v>0.72729999999999995</v>
      </c>
      <c r="F3" s="5">
        <v>0.8276</v>
      </c>
      <c r="G3" s="5">
        <v>0.77739999999999998</v>
      </c>
    </row>
    <row r="4" spans="1:7" x14ac:dyDescent="0.5">
      <c r="A4" s="41"/>
      <c r="B4" s="18" t="s">
        <v>37</v>
      </c>
      <c r="C4" s="6">
        <f>AVERAGE(C2:C3)</f>
        <v>0.79069999999999996</v>
      </c>
      <c r="D4" s="6">
        <f>AVERAGE(D2:D3)</f>
        <v>0.78380000000000005</v>
      </c>
      <c r="E4" s="6">
        <f t="shared" ref="E4:G4" si="0">AVERAGE(E2:E3)</f>
        <v>0.73519999999999996</v>
      </c>
      <c r="F4" s="6">
        <f t="shared" si="0"/>
        <v>0.84834999999999994</v>
      </c>
      <c r="G4" s="6">
        <f t="shared" si="0"/>
        <v>0.79174999999999995</v>
      </c>
    </row>
    <row r="5" spans="1:7" x14ac:dyDescent="0.5">
      <c r="A5" s="42"/>
      <c r="B5" s="26" t="s">
        <v>9</v>
      </c>
      <c r="C5" s="7">
        <f>ABS(C2-C3)</f>
        <v>3.3000000000000029E-2</v>
      </c>
      <c r="D5" s="7">
        <f>ABS(D2-D3)</f>
        <v>1.9199999999999995E-2</v>
      </c>
      <c r="E5" s="7">
        <f t="shared" ref="E5:G5" si="1">ABS(E2-E3)</f>
        <v>1.5800000000000036E-2</v>
      </c>
      <c r="F5" s="7">
        <f t="shared" si="1"/>
        <v>4.1499999999999981E-2</v>
      </c>
      <c r="G5" s="7">
        <f t="shared" si="1"/>
        <v>2.8700000000000059E-2</v>
      </c>
    </row>
    <row r="6" spans="1:7" x14ac:dyDescent="0.5">
      <c r="A6" s="43" t="s">
        <v>25</v>
      </c>
      <c r="B6" s="16" t="s">
        <v>30</v>
      </c>
      <c r="C6" s="5">
        <v>0.79349999999999998</v>
      </c>
      <c r="D6" s="5">
        <v>0.77470000000000006</v>
      </c>
      <c r="E6" s="5">
        <v>0.72219999999999995</v>
      </c>
      <c r="F6" s="5">
        <v>0.86240000000000006</v>
      </c>
      <c r="G6" s="5">
        <v>0.7923</v>
      </c>
    </row>
    <row r="7" spans="1:7" x14ac:dyDescent="0.5">
      <c r="A7" s="41"/>
      <c r="B7" s="16" t="s">
        <v>31</v>
      </c>
      <c r="C7" s="5">
        <v>0.7258</v>
      </c>
      <c r="D7" s="5">
        <v>0.70179999999999998</v>
      </c>
      <c r="E7" s="5">
        <v>0.60609999999999997</v>
      </c>
      <c r="F7" s="5">
        <v>0.86209999999999998</v>
      </c>
      <c r="G7" s="5">
        <v>0.73409999999999997</v>
      </c>
    </row>
    <row r="8" spans="1:7" x14ac:dyDescent="0.5">
      <c r="A8" s="41"/>
      <c r="B8" s="18" t="s">
        <v>8</v>
      </c>
      <c r="C8" s="6">
        <f>AVERAGE(C6:C7)</f>
        <v>0.75964999999999994</v>
      </c>
      <c r="D8" s="6">
        <f>AVERAGE(D6:D7)</f>
        <v>0.73825000000000007</v>
      </c>
      <c r="E8" s="6">
        <f t="shared" ref="E8:G8" si="2">AVERAGE(E6:E7)</f>
        <v>0.66415000000000002</v>
      </c>
      <c r="F8" s="6">
        <f t="shared" si="2"/>
        <v>0.86224999999999996</v>
      </c>
      <c r="G8" s="6">
        <f t="shared" si="2"/>
        <v>0.76319999999999999</v>
      </c>
    </row>
    <row r="9" spans="1:7" x14ac:dyDescent="0.5">
      <c r="A9" s="42"/>
      <c r="B9" s="26" t="s">
        <v>9</v>
      </c>
      <c r="C9" s="7">
        <f>ABS(C6-C7)</f>
        <v>6.7699999999999982E-2</v>
      </c>
      <c r="D9" s="7">
        <f>ABS(D6-D7)</f>
        <v>7.2900000000000076E-2</v>
      </c>
      <c r="E9" s="7">
        <f t="shared" ref="E9:G9" si="3">ABS(E6-E7)</f>
        <v>0.11609999999999998</v>
      </c>
      <c r="F9" s="7">
        <f t="shared" si="3"/>
        <v>3.0000000000007798E-4</v>
      </c>
      <c r="G9" s="7">
        <f t="shared" si="3"/>
        <v>5.8200000000000029E-2</v>
      </c>
    </row>
    <row r="10" spans="1:7" x14ac:dyDescent="0.5">
      <c r="A10" s="43" t="s">
        <v>26</v>
      </c>
      <c r="B10" s="16" t="s">
        <v>30</v>
      </c>
      <c r="C10" s="5">
        <v>0.83620000000000005</v>
      </c>
      <c r="D10" s="5">
        <v>0.82920000000000005</v>
      </c>
      <c r="E10" s="5">
        <v>0.80900000000000005</v>
      </c>
      <c r="F10" s="5">
        <v>0.86240000000000006</v>
      </c>
      <c r="G10" s="5">
        <v>0.8357</v>
      </c>
    </row>
    <row r="11" spans="1:7" x14ac:dyDescent="0.5">
      <c r="A11" s="41"/>
      <c r="B11" s="16" t="s">
        <v>31</v>
      </c>
      <c r="C11" s="5">
        <v>0.7903</v>
      </c>
      <c r="D11" s="5">
        <v>0.78690000000000004</v>
      </c>
      <c r="E11" s="5">
        <v>0.72729999999999995</v>
      </c>
      <c r="F11" s="5">
        <v>0.86209999999999998</v>
      </c>
      <c r="G11" s="5">
        <v>0.79469999999999996</v>
      </c>
    </row>
    <row r="12" spans="1:7" x14ac:dyDescent="0.5">
      <c r="A12" s="41"/>
      <c r="B12" s="18" t="s">
        <v>8</v>
      </c>
      <c r="C12" s="9">
        <f>AVERAGE(C10:C11)</f>
        <v>0.81325000000000003</v>
      </c>
      <c r="D12" s="6">
        <f>AVERAGE(D10:D11)</f>
        <v>0.80805000000000005</v>
      </c>
      <c r="E12" s="6">
        <f t="shared" ref="E12:G12" si="4">AVERAGE(E10:E11)</f>
        <v>0.76815</v>
      </c>
      <c r="F12" s="6">
        <f t="shared" si="4"/>
        <v>0.86224999999999996</v>
      </c>
      <c r="G12" s="9">
        <f t="shared" si="4"/>
        <v>0.81519999999999992</v>
      </c>
    </row>
    <row r="13" spans="1:7" x14ac:dyDescent="0.5">
      <c r="A13" s="42"/>
      <c r="B13" s="26" t="s">
        <v>9</v>
      </c>
      <c r="C13" s="8">
        <f>ABS(C10-C11)</f>
        <v>4.5900000000000052E-2</v>
      </c>
      <c r="D13" s="7">
        <f>ABS(D10-D11)</f>
        <v>4.2300000000000004E-2</v>
      </c>
      <c r="E13" s="7">
        <f t="shared" ref="E13:F13" si="5">ABS(E10-E11)</f>
        <v>8.1700000000000106E-2</v>
      </c>
      <c r="F13" s="7">
        <f t="shared" si="5"/>
        <v>3.0000000000007798E-4</v>
      </c>
      <c r="G13" s="8">
        <f>ABS(G10-G11)</f>
        <v>4.1000000000000036E-2</v>
      </c>
    </row>
    <row r="14" spans="1:7" x14ac:dyDescent="0.5">
      <c r="A14" s="43" t="s">
        <v>36</v>
      </c>
      <c r="B14" s="16" t="s">
        <v>30</v>
      </c>
      <c r="C14" s="5">
        <v>0.77649999999999997</v>
      </c>
      <c r="D14" s="5">
        <v>0.75700000000000001</v>
      </c>
      <c r="E14" s="5">
        <v>0.70830000000000004</v>
      </c>
      <c r="F14" s="5">
        <v>0.84230000000000005</v>
      </c>
      <c r="G14" s="5">
        <v>0.77529999999999999</v>
      </c>
    </row>
    <row r="15" spans="1:7" x14ac:dyDescent="0.5">
      <c r="A15" s="41"/>
      <c r="B15" s="16" t="s">
        <v>31</v>
      </c>
      <c r="C15" s="5">
        <v>0.8387</v>
      </c>
      <c r="D15" s="5">
        <v>0.8387</v>
      </c>
      <c r="E15" s="5">
        <v>0.78790000000000004</v>
      </c>
      <c r="F15" s="5">
        <v>0.89659999999999995</v>
      </c>
      <c r="G15" s="5">
        <v>0.84219999999999995</v>
      </c>
    </row>
    <row r="16" spans="1:7" x14ac:dyDescent="0.5">
      <c r="A16" s="41"/>
      <c r="B16" s="18" t="s">
        <v>8</v>
      </c>
      <c r="C16" s="6">
        <f>AVERAGE(C14:C15)</f>
        <v>0.80759999999999998</v>
      </c>
      <c r="D16" s="6">
        <f>AVERAGE(D14:D15)</f>
        <v>0.79784999999999995</v>
      </c>
      <c r="E16" s="6">
        <f t="shared" ref="E16:G16" si="6">AVERAGE(E14:E15)</f>
        <v>0.74809999999999999</v>
      </c>
      <c r="F16" s="6">
        <f t="shared" si="6"/>
        <v>0.86945000000000006</v>
      </c>
      <c r="G16" s="6">
        <f t="shared" si="6"/>
        <v>0.80874999999999997</v>
      </c>
    </row>
    <row r="17" spans="1:7" x14ac:dyDescent="0.5">
      <c r="A17" s="42"/>
      <c r="B17" s="26" t="s">
        <v>9</v>
      </c>
      <c r="C17" s="7">
        <f>ABS(C14-C15)</f>
        <v>6.2200000000000033E-2</v>
      </c>
      <c r="D17" s="7">
        <f>ABS(D14-D15)</f>
        <v>8.1699999999999995E-2</v>
      </c>
      <c r="E17" s="7">
        <f t="shared" ref="E17:G17" si="7">ABS(E14-E15)</f>
        <v>7.9600000000000004E-2</v>
      </c>
      <c r="F17" s="7">
        <f t="shared" si="7"/>
        <v>5.4299999999999904E-2</v>
      </c>
      <c r="G17" s="7">
        <f t="shared" si="7"/>
        <v>6.6899999999999959E-2</v>
      </c>
    </row>
    <row r="18" spans="1:7" x14ac:dyDescent="0.5">
      <c r="A18" s="43" t="s">
        <v>28</v>
      </c>
      <c r="B18" s="16" t="s">
        <v>30</v>
      </c>
      <c r="C18" s="5">
        <v>0.79859999999999998</v>
      </c>
      <c r="D18" s="5">
        <v>0.80779999999999996</v>
      </c>
      <c r="E18" s="5">
        <v>0.86109999999999998</v>
      </c>
      <c r="F18" s="5">
        <v>0.73829999999999996</v>
      </c>
      <c r="G18" s="5">
        <v>0.79969999999999997</v>
      </c>
    </row>
    <row r="19" spans="1:7" x14ac:dyDescent="0.5">
      <c r="A19" s="41"/>
      <c r="B19" s="16" t="s">
        <v>31</v>
      </c>
      <c r="C19" s="5">
        <v>0.7903</v>
      </c>
      <c r="D19" s="5">
        <v>0.8</v>
      </c>
      <c r="E19" s="5">
        <v>0.78790000000000004</v>
      </c>
      <c r="F19" s="5">
        <v>0.79310000000000003</v>
      </c>
      <c r="G19" s="5">
        <v>0.79049999999999998</v>
      </c>
    </row>
    <row r="20" spans="1:7" x14ac:dyDescent="0.5">
      <c r="A20" s="41"/>
      <c r="B20" s="18" t="s">
        <v>8</v>
      </c>
      <c r="C20" s="6">
        <f>AVERAGE(C18:C19)</f>
        <v>0.79444999999999999</v>
      </c>
      <c r="D20" s="6">
        <f>AVERAGE(D18:D19)</f>
        <v>0.80390000000000006</v>
      </c>
      <c r="E20" s="6">
        <f t="shared" ref="E20:G20" si="8">AVERAGE(E18:E19)</f>
        <v>0.82450000000000001</v>
      </c>
      <c r="F20" s="6">
        <f t="shared" si="8"/>
        <v>0.76570000000000005</v>
      </c>
      <c r="G20" s="6">
        <f t="shared" si="8"/>
        <v>0.79509999999999992</v>
      </c>
    </row>
    <row r="21" spans="1:7" x14ac:dyDescent="0.5">
      <c r="A21" s="42"/>
      <c r="B21" s="26" t="s">
        <v>9</v>
      </c>
      <c r="C21" s="7">
        <f>ABS(C18-C19)</f>
        <v>8.2999999999999741E-3</v>
      </c>
      <c r="D21" s="7">
        <f>ABS(D18-D19)</f>
        <v>7.7999999999999181E-3</v>
      </c>
      <c r="E21" s="7">
        <f t="shared" ref="E21:G21" si="9">ABS(E18-E19)</f>
        <v>7.3199999999999932E-2</v>
      </c>
      <c r="F21" s="7">
        <f t="shared" si="9"/>
        <v>5.4800000000000071E-2</v>
      </c>
      <c r="G21" s="7">
        <f t="shared" si="9"/>
        <v>9.199999999999986E-3</v>
      </c>
    </row>
    <row r="22" spans="1:7" x14ac:dyDescent="0.5">
      <c r="A22" s="43" t="s">
        <v>29</v>
      </c>
      <c r="B22" s="16" t="s">
        <v>30</v>
      </c>
      <c r="C22" s="5">
        <v>0.84299999999999997</v>
      </c>
      <c r="D22" s="5">
        <v>0.8327</v>
      </c>
      <c r="E22" s="5">
        <v>0.79510000000000003</v>
      </c>
      <c r="F22" s="5">
        <v>0.88929999999999998</v>
      </c>
      <c r="G22" s="5">
        <v>0.84219999999999995</v>
      </c>
    </row>
    <row r="23" spans="1:7" x14ac:dyDescent="0.5">
      <c r="A23" s="41"/>
      <c r="B23" s="16" t="s">
        <v>31</v>
      </c>
      <c r="C23" s="5">
        <v>0.7581</v>
      </c>
      <c r="D23" s="5">
        <v>0.74580000000000002</v>
      </c>
      <c r="E23" s="5">
        <v>0.66669999999999996</v>
      </c>
      <c r="F23" s="5">
        <v>0.86209999999999998</v>
      </c>
      <c r="G23" s="5">
        <v>0.76439999999999997</v>
      </c>
    </row>
    <row r="24" spans="1:7" x14ac:dyDescent="0.5">
      <c r="A24" s="41"/>
      <c r="B24" s="18" t="s">
        <v>8</v>
      </c>
      <c r="C24" s="6">
        <f>AVERAGE(C22:C23)</f>
        <v>0.80054999999999998</v>
      </c>
      <c r="D24" s="6">
        <f>AVERAGE(D22:D23)</f>
        <v>0.78925000000000001</v>
      </c>
      <c r="E24" s="6">
        <f t="shared" ref="E24:G24" si="10">AVERAGE(E22:E23)</f>
        <v>0.73089999999999999</v>
      </c>
      <c r="F24" s="6">
        <f t="shared" si="10"/>
        <v>0.87569999999999992</v>
      </c>
      <c r="G24" s="6">
        <f t="shared" si="10"/>
        <v>0.8032999999999999</v>
      </c>
    </row>
    <row r="25" spans="1:7" x14ac:dyDescent="0.5">
      <c r="A25" s="42"/>
      <c r="B25" s="26" t="s">
        <v>9</v>
      </c>
      <c r="C25" s="7">
        <f>ABS(C22-C23)</f>
        <v>8.4899999999999975E-2</v>
      </c>
      <c r="D25" s="7">
        <f>ABS(D22-D23)</f>
        <v>8.6899999999999977E-2</v>
      </c>
      <c r="E25" s="7">
        <f t="shared" ref="E25:G25" si="11">ABS(E22-E23)</f>
        <v>0.12840000000000007</v>
      </c>
      <c r="F25" s="7">
        <f t="shared" si="11"/>
        <v>2.7200000000000002E-2</v>
      </c>
      <c r="G25" s="7">
        <f t="shared" si="11"/>
        <v>7.779999999999998E-2</v>
      </c>
    </row>
  </sheetData>
  <mergeCells count="6">
    <mergeCell ref="A22:A25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B211-BEAD-4EB9-85DC-A561430D2956}">
  <dimension ref="A1:G25"/>
  <sheetViews>
    <sheetView zoomScale="115" zoomScaleNormal="115" workbookViewId="0">
      <selection activeCell="H20" sqref="H20"/>
    </sheetView>
  </sheetViews>
  <sheetFormatPr defaultRowHeight="14.35" x14ac:dyDescent="0.5"/>
  <cols>
    <col min="1" max="1" width="32.46875" bestFit="1" customWidth="1"/>
    <col min="2" max="2" width="9.52734375" bestFit="1" customWidth="1"/>
    <col min="3" max="4" width="10.05859375" customWidth="1"/>
    <col min="5" max="5" width="9.8203125" customWidth="1"/>
    <col min="6" max="6" width="10.5859375" customWidth="1"/>
  </cols>
  <sheetData>
    <row r="1" spans="1:7" x14ac:dyDescent="0.5">
      <c r="A1" s="3" t="s">
        <v>5</v>
      </c>
      <c r="B1" s="3"/>
      <c r="C1" s="3" t="s">
        <v>1</v>
      </c>
      <c r="D1" s="3" t="s">
        <v>33</v>
      </c>
      <c r="E1" s="3" t="s">
        <v>2</v>
      </c>
      <c r="F1" s="3" t="s">
        <v>3</v>
      </c>
      <c r="G1" s="3" t="s">
        <v>4</v>
      </c>
    </row>
    <row r="2" spans="1:7" x14ac:dyDescent="0.5">
      <c r="A2" s="43" t="s">
        <v>35</v>
      </c>
      <c r="B2" s="1" t="s">
        <v>6</v>
      </c>
      <c r="C2" s="5">
        <v>0.80549999999999999</v>
      </c>
      <c r="D2" s="5">
        <v>0.79200000000000004</v>
      </c>
      <c r="E2" s="5">
        <v>0.75349999999999995</v>
      </c>
      <c r="F2" s="5">
        <v>0.85570000000000002</v>
      </c>
      <c r="G2" s="5">
        <v>0.80459999999999998</v>
      </c>
    </row>
    <row r="3" spans="1:7" x14ac:dyDescent="0.5">
      <c r="A3" s="41"/>
      <c r="B3" t="s">
        <v>7</v>
      </c>
      <c r="C3" s="5">
        <v>0.7581</v>
      </c>
      <c r="D3" s="5">
        <v>0.76919999999999999</v>
      </c>
      <c r="E3" s="5">
        <v>0.75760000000000005</v>
      </c>
      <c r="F3" s="5">
        <v>0.75860000000000005</v>
      </c>
      <c r="G3" s="5">
        <v>0.7581</v>
      </c>
    </row>
    <row r="4" spans="1:7" x14ac:dyDescent="0.5">
      <c r="A4" s="41"/>
      <c r="B4" t="s">
        <v>13</v>
      </c>
      <c r="C4" s="6">
        <f>AVERAGE(C2:C3)</f>
        <v>0.78180000000000005</v>
      </c>
      <c r="D4" s="6">
        <f>AVERAGE(D2:D3)</f>
        <v>0.78059999999999996</v>
      </c>
      <c r="E4" s="6">
        <f t="shared" ref="E4:G4" si="0">AVERAGE(E2:E3)</f>
        <v>0.75554999999999994</v>
      </c>
      <c r="F4" s="6">
        <f t="shared" si="0"/>
        <v>0.80715000000000003</v>
      </c>
      <c r="G4" s="6">
        <f t="shared" si="0"/>
        <v>0.78134999999999999</v>
      </c>
    </row>
    <row r="5" spans="1:7" x14ac:dyDescent="0.5">
      <c r="A5" s="42"/>
      <c r="B5" s="28" t="s">
        <v>14</v>
      </c>
      <c r="C5" s="7">
        <f>ABS(C2-C3)</f>
        <v>4.7399999999999998E-2</v>
      </c>
      <c r="D5" s="7">
        <f>ABS(D2-D3)</f>
        <v>2.2800000000000042E-2</v>
      </c>
      <c r="E5" s="7">
        <f t="shared" ref="E5:G5" si="1">ABS(E2-E3)</f>
        <v>4.1000000000001036E-3</v>
      </c>
      <c r="F5" s="7">
        <f t="shared" si="1"/>
        <v>9.7099999999999964E-2</v>
      </c>
      <c r="G5" s="7">
        <f t="shared" si="1"/>
        <v>4.6499999999999986E-2</v>
      </c>
    </row>
    <row r="6" spans="1:7" x14ac:dyDescent="0.5">
      <c r="A6" s="43" t="s">
        <v>25</v>
      </c>
      <c r="B6" s="1" t="s">
        <v>6</v>
      </c>
      <c r="C6" s="5">
        <v>0.80889999999999995</v>
      </c>
      <c r="D6" s="5">
        <v>0.80420000000000003</v>
      </c>
      <c r="E6" s="5">
        <v>0.79859999999999998</v>
      </c>
      <c r="F6" s="5">
        <v>0.81879999999999997</v>
      </c>
      <c r="G6" s="5">
        <v>0.80869999999999997</v>
      </c>
    </row>
    <row r="7" spans="1:7" x14ac:dyDescent="0.5">
      <c r="A7" s="41"/>
      <c r="B7" t="s">
        <v>7</v>
      </c>
      <c r="C7" s="5">
        <v>0.80649999999999999</v>
      </c>
      <c r="D7" s="5">
        <v>0.8125</v>
      </c>
      <c r="E7" s="5">
        <v>0.78790000000000004</v>
      </c>
      <c r="F7" s="5">
        <v>0.8276</v>
      </c>
      <c r="G7" s="5">
        <v>0.80769999999999997</v>
      </c>
    </row>
    <row r="8" spans="1:7" x14ac:dyDescent="0.5">
      <c r="A8" s="41"/>
      <c r="B8" t="s">
        <v>13</v>
      </c>
      <c r="C8" s="6">
        <f>AVERAGE(C6:C7)</f>
        <v>0.80769999999999997</v>
      </c>
      <c r="D8" s="6">
        <f>AVERAGE(D6:D7)</f>
        <v>0.80835000000000001</v>
      </c>
      <c r="E8" s="6">
        <f t="shared" ref="E8:G8" si="2">AVERAGE(E6:E7)</f>
        <v>0.79325000000000001</v>
      </c>
      <c r="F8" s="6">
        <f t="shared" si="2"/>
        <v>0.82319999999999993</v>
      </c>
      <c r="G8" s="6">
        <f t="shared" si="2"/>
        <v>0.80820000000000003</v>
      </c>
    </row>
    <row r="9" spans="1:7" x14ac:dyDescent="0.5">
      <c r="A9" s="42"/>
      <c r="B9" s="28" t="s">
        <v>14</v>
      </c>
      <c r="C9" s="7">
        <f>ABS(C6-C7)</f>
        <v>2.3999999999999577E-3</v>
      </c>
      <c r="D9" s="7">
        <f>ABS(D6-D7)</f>
        <v>8.2999999999999741E-3</v>
      </c>
      <c r="E9" s="7">
        <f t="shared" ref="E9:G9" si="3">ABS(E6-E7)</f>
        <v>1.0699999999999932E-2</v>
      </c>
      <c r="F9" s="7">
        <f t="shared" si="3"/>
        <v>8.80000000000003E-3</v>
      </c>
      <c r="G9" s="7">
        <f t="shared" si="3"/>
        <v>1.0000000000000009E-3</v>
      </c>
    </row>
    <row r="10" spans="1:7" x14ac:dyDescent="0.5">
      <c r="A10" s="43" t="s">
        <v>26</v>
      </c>
      <c r="B10" s="1" t="s">
        <v>6</v>
      </c>
      <c r="C10" s="5">
        <v>0.81569999999999998</v>
      </c>
      <c r="D10" s="5">
        <v>0.79069999999999996</v>
      </c>
      <c r="E10" s="5">
        <v>0.70830000000000004</v>
      </c>
      <c r="F10" s="5">
        <v>0.91949999999999998</v>
      </c>
      <c r="G10" s="5">
        <v>0.81389999999999996</v>
      </c>
    </row>
    <row r="11" spans="1:7" x14ac:dyDescent="0.5">
      <c r="A11" s="41"/>
      <c r="B11" t="s">
        <v>7</v>
      </c>
      <c r="C11" s="5">
        <v>0.80649999999999999</v>
      </c>
      <c r="D11" s="5">
        <v>0.79310000000000003</v>
      </c>
      <c r="E11" s="5">
        <v>0.69699999999999995</v>
      </c>
      <c r="F11" s="5">
        <v>0.93100000000000005</v>
      </c>
      <c r="G11" s="5">
        <v>0.81399999999999995</v>
      </c>
    </row>
    <row r="12" spans="1:7" x14ac:dyDescent="0.5">
      <c r="A12" s="41"/>
      <c r="B12" t="s">
        <v>13</v>
      </c>
      <c r="C12" s="6">
        <f>AVERAGE(C10:C11)</f>
        <v>0.81109999999999993</v>
      </c>
      <c r="D12" s="6">
        <f>AVERAGE(D10:D11)</f>
        <v>0.79190000000000005</v>
      </c>
      <c r="E12" s="6">
        <f t="shared" ref="E12:G12" si="4">AVERAGE(E10:E11)</f>
        <v>0.70265</v>
      </c>
      <c r="F12" s="6">
        <f t="shared" si="4"/>
        <v>0.92525000000000002</v>
      </c>
      <c r="G12" s="9">
        <f t="shared" si="4"/>
        <v>0.81394999999999995</v>
      </c>
    </row>
    <row r="13" spans="1:7" x14ac:dyDescent="0.5">
      <c r="A13" s="42"/>
      <c r="B13" s="28" t="s">
        <v>14</v>
      </c>
      <c r="C13" s="7">
        <f>ABS(C10-C11)</f>
        <v>9.199999999999986E-3</v>
      </c>
      <c r="D13" s="7">
        <f>ABS(D10-D11)</f>
        <v>2.4000000000000687E-3</v>
      </c>
      <c r="E13" s="7">
        <f t="shared" ref="E13:F13" si="5">ABS(E10-E11)</f>
        <v>1.1300000000000088E-2</v>
      </c>
      <c r="F13" s="7">
        <f t="shared" si="5"/>
        <v>1.1500000000000066E-2</v>
      </c>
      <c r="G13" s="4">
        <f>ABS(G10-G11)</f>
        <v>9.9999999999988987E-5</v>
      </c>
    </row>
    <row r="14" spans="1:7" x14ac:dyDescent="0.5">
      <c r="A14" s="43" t="s">
        <v>36</v>
      </c>
      <c r="B14" s="1" t="s">
        <v>6</v>
      </c>
      <c r="C14" s="5">
        <v>0.79179999999999995</v>
      </c>
      <c r="D14" s="5">
        <v>0.78059999999999996</v>
      </c>
      <c r="E14" s="5">
        <v>0.75349999999999995</v>
      </c>
      <c r="F14" s="5">
        <v>0.82889999999999997</v>
      </c>
      <c r="G14" s="5">
        <v>0.79120000000000001</v>
      </c>
    </row>
    <row r="15" spans="1:7" x14ac:dyDescent="0.5">
      <c r="A15" s="41"/>
      <c r="B15" t="s">
        <v>7</v>
      </c>
      <c r="C15" s="5">
        <v>0.7903</v>
      </c>
      <c r="D15" s="5">
        <v>0.79369999999999996</v>
      </c>
      <c r="E15" s="5">
        <v>0.75760000000000005</v>
      </c>
      <c r="F15" s="5">
        <v>0.8276</v>
      </c>
      <c r="G15" s="5">
        <v>0.79259999999999997</v>
      </c>
    </row>
    <row r="16" spans="1:7" x14ac:dyDescent="0.5">
      <c r="A16" s="41"/>
      <c r="B16" t="s">
        <v>13</v>
      </c>
      <c r="C16" s="6">
        <f>AVERAGE(C14:C15)</f>
        <v>0.79105000000000003</v>
      </c>
      <c r="D16" s="6">
        <f>AVERAGE(D14:D15)</f>
        <v>0.78715000000000002</v>
      </c>
      <c r="E16" s="6">
        <f t="shared" ref="E16:G16" si="6">AVERAGE(E14:E15)</f>
        <v>0.75554999999999994</v>
      </c>
      <c r="F16" s="6">
        <f t="shared" si="6"/>
        <v>0.82824999999999993</v>
      </c>
      <c r="G16" s="6">
        <f t="shared" si="6"/>
        <v>0.79190000000000005</v>
      </c>
    </row>
    <row r="17" spans="1:7" x14ac:dyDescent="0.5">
      <c r="A17" s="42"/>
      <c r="B17" s="28" t="s">
        <v>14</v>
      </c>
      <c r="C17" s="7">
        <f>ABS(C14-C15)</f>
        <v>1.4999999999999458E-3</v>
      </c>
      <c r="D17" s="7">
        <f>ABS(D14-D15)</f>
        <v>1.3100000000000001E-2</v>
      </c>
      <c r="E17" s="7">
        <f t="shared" ref="E17:G17" si="7">ABS(E14-E15)</f>
        <v>4.1000000000001036E-3</v>
      </c>
      <c r="F17" s="7">
        <f t="shared" si="7"/>
        <v>1.2999999999999678E-3</v>
      </c>
      <c r="G17" s="7">
        <f t="shared" si="7"/>
        <v>1.3999999999999568E-3</v>
      </c>
    </row>
    <row r="18" spans="1:7" x14ac:dyDescent="0.5">
      <c r="A18" s="43" t="s">
        <v>28</v>
      </c>
      <c r="B18" s="1" t="s">
        <v>6</v>
      </c>
      <c r="C18" s="5">
        <v>0.80720000000000003</v>
      </c>
      <c r="D18" s="5">
        <v>0.79269999999999996</v>
      </c>
      <c r="E18" s="5">
        <v>0.75</v>
      </c>
      <c r="F18" s="5">
        <v>0.86240000000000006</v>
      </c>
      <c r="G18" s="5">
        <v>0.80620000000000003</v>
      </c>
    </row>
    <row r="19" spans="1:7" x14ac:dyDescent="0.5">
      <c r="A19" s="41"/>
      <c r="B19" t="s">
        <v>7</v>
      </c>
      <c r="C19" s="5">
        <v>0.7742</v>
      </c>
      <c r="D19" s="5">
        <v>0.7742</v>
      </c>
      <c r="E19" s="5">
        <v>0.72729999999999995</v>
      </c>
      <c r="F19" s="5">
        <v>0.8276</v>
      </c>
      <c r="G19" s="5">
        <v>0.77739999999999998</v>
      </c>
    </row>
    <row r="20" spans="1:7" x14ac:dyDescent="0.5">
      <c r="A20" s="41"/>
      <c r="B20" t="s">
        <v>13</v>
      </c>
      <c r="C20" s="6">
        <f>AVERAGE(C18:C19)</f>
        <v>0.79069999999999996</v>
      </c>
      <c r="D20" s="6">
        <f>AVERAGE(D18:D19)</f>
        <v>0.78344999999999998</v>
      </c>
      <c r="E20" s="6">
        <f t="shared" ref="E20:G20" si="8">AVERAGE(E18:E19)</f>
        <v>0.73865000000000003</v>
      </c>
      <c r="F20" s="6">
        <f t="shared" si="8"/>
        <v>0.84499999999999997</v>
      </c>
      <c r="G20" s="6">
        <f t="shared" si="8"/>
        <v>0.79180000000000006</v>
      </c>
    </row>
    <row r="21" spans="1:7" x14ac:dyDescent="0.5">
      <c r="A21" s="42"/>
      <c r="B21" s="28" t="s">
        <v>14</v>
      </c>
      <c r="C21" s="7">
        <f>ABS(C18-C19)</f>
        <v>3.3000000000000029E-2</v>
      </c>
      <c r="D21" s="7">
        <f>ABS(D18-D19)</f>
        <v>1.8499999999999961E-2</v>
      </c>
      <c r="E21" s="7">
        <f t="shared" ref="E21:G21" si="9">ABS(E18-E19)</f>
        <v>2.2700000000000053E-2</v>
      </c>
      <c r="F21" s="7">
        <f t="shared" si="9"/>
        <v>3.4800000000000053E-2</v>
      </c>
      <c r="G21" s="7">
        <f t="shared" si="9"/>
        <v>2.8800000000000048E-2</v>
      </c>
    </row>
    <row r="22" spans="1:7" x14ac:dyDescent="0.5">
      <c r="A22" s="43" t="s">
        <v>29</v>
      </c>
      <c r="B22" s="1" t="s">
        <v>6</v>
      </c>
      <c r="C22" s="5">
        <v>0.84130000000000005</v>
      </c>
      <c r="D22" s="5">
        <v>0.82550000000000001</v>
      </c>
      <c r="E22" s="5">
        <v>0.76390000000000002</v>
      </c>
      <c r="F22" s="5">
        <v>0.91610000000000003</v>
      </c>
      <c r="G22" s="5">
        <v>0.84</v>
      </c>
    </row>
    <row r="23" spans="1:7" x14ac:dyDescent="0.5">
      <c r="A23" s="41"/>
      <c r="B23" t="s">
        <v>7</v>
      </c>
      <c r="C23" s="5">
        <v>0.80649999999999999</v>
      </c>
      <c r="D23" s="5">
        <v>0.8</v>
      </c>
      <c r="E23" s="5">
        <v>0.72729999999999995</v>
      </c>
      <c r="F23" s="5">
        <v>0.89659999999999995</v>
      </c>
      <c r="G23" s="5">
        <v>0.81189999999999996</v>
      </c>
    </row>
    <row r="24" spans="1:7" x14ac:dyDescent="0.5">
      <c r="A24" s="41"/>
      <c r="B24" t="s">
        <v>13</v>
      </c>
      <c r="C24" s="9">
        <f>AVERAGE(C22:C23)</f>
        <v>0.82390000000000008</v>
      </c>
      <c r="D24" s="6">
        <f>AVERAGE(D22:D23)</f>
        <v>0.81275000000000008</v>
      </c>
      <c r="E24" s="6">
        <f t="shared" ref="E24:G24" si="10">AVERAGE(E22:E23)</f>
        <v>0.74560000000000004</v>
      </c>
      <c r="F24" s="6">
        <f t="shared" si="10"/>
        <v>0.90634999999999999</v>
      </c>
      <c r="G24" s="9">
        <f t="shared" si="10"/>
        <v>0.82594999999999996</v>
      </c>
    </row>
    <row r="25" spans="1:7" x14ac:dyDescent="0.5">
      <c r="A25" s="42"/>
      <c r="B25" s="28" t="s">
        <v>14</v>
      </c>
      <c r="C25" s="8">
        <f>ABS(C22-C23)</f>
        <v>3.4800000000000053E-2</v>
      </c>
      <c r="D25" s="7">
        <f>ABS(D22-D23)</f>
        <v>2.5499999999999967E-2</v>
      </c>
      <c r="E25" s="7">
        <f t="shared" ref="E25:G25" si="11">ABS(E22-E23)</f>
        <v>3.6600000000000077E-2</v>
      </c>
      <c r="F25" s="7">
        <f t="shared" si="11"/>
        <v>1.9500000000000073E-2</v>
      </c>
      <c r="G25" s="8">
        <f t="shared" si="11"/>
        <v>2.8100000000000014E-2</v>
      </c>
    </row>
  </sheetData>
  <mergeCells count="6">
    <mergeCell ref="A22:A25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FFE8-E473-42C9-B94E-C5FCC62E8E1D}">
  <dimension ref="A1:I17"/>
  <sheetViews>
    <sheetView zoomScaleNormal="100" workbookViewId="0">
      <selection activeCell="C5" sqref="C5"/>
    </sheetView>
  </sheetViews>
  <sheetFormatPr defaultRowHeight="14.35" x14ac:dyDescent="0.5"/>
  <cols>
    <col min="1" max="1" width="33.3515625" customWidth="1"/>
    <col min="2" max="2" width="9.52734375" bestFit="1" customWidth="1"/>
    <col min="8" max="8" width="11.76171875" customWidth="1"/>
    <col min="9" max="9" width="12" customWidth="1"/>
  </cols>
  <sheetData>
    <row r="1" spans="1:9" x14ac:dyDescent="0.5">
      <c r="A1" s="3" t="s">
        <v>5</v>
      </c>
      <c r="B1" s="3"/>
      <c r="C1" s="3" t="s">
        <v>1</v>
      </c>
      <c r="D1" s="3" t="s">
        <v>38</v>
      </c>
      <c r="E1" s="3" t="s">
        <v>10</v>
      </c>
      <c r="F1" s="3" t="s">
        <v>11</v>
      </c>
      <c r="G1" s="3" t="s">
        <v>4</v>
      </c>
    </row>
    <row r="2" spans="1:9" x14ac:dyDescent="0.5">
      <c r="A2" s="44" t="s">
        <v>28</v>
      </c>
      <c r="B2" s="20" t="s">
        <v>6</v>
      </c>
      <c r="C2" s="36">
        <v>0.82250000000000001</v>
      </c>
      <c r="D2" s="36">
        <v>0.8</v>
      </c>
      <c r="E2" s="36">
        <v>0.81599999999999995</v>
      </c>
      <c r="F2" s="36">
        <v>0.82889999999999997</v>
      </c>
      <c r="G2" s="36">
        <v>0.82240000000000002</v>
      </c>
    </row>
    <row r="3" spans="1:9" x14ac:dyDescent="0.5">
      <c r="A3" s="45"/>
      <c r="B3" s="19" t="s">
        <v>7</v>
      </c>
      <c r="C3" s="36">
        <v>0.8226</v>
      </c>
      <c r="D3" s="36">
        <v>0.8</v>
      </c>
      <c r="E3" s="36">
        <v>0.78790000000000004</v>
      </c>
      <c r="F3" s="36">
        <v>0.86209999999999998</v>
      </c>
      <c r="G3" s="36">
        <v>0.82499999999999996</v>
      </c>
    </row>
    <row r="4" spans="1:9" x14ac:dyDescent="0.5">
      <c r="A4" s="45"/>
      <c r="B4" s="21" t="s">
        <v>13</v>
      </c>
      <c r="C4" s="37">
        <f>AVERAGE(C2:C3)</f>
        <v>0.82255</v>
      </c>
      <c r="D4" s="37">
        <f>AVERAGE(D2:D3)</f>
        <v>0.8</v>
      </c>
      <c r="E4" s="37">
        <f t="shared" ref="E4:G4" si="0">AVERAGE(E2:E3)</f>
        <v>0.80194999999999994</v>
      </c>
      <c r="F4" s="37">
        <f t="shared" si="0"/>
        <v>0.84549999999999992</v>
      </c>
      <c r="G4" s="37">
        <f t="shared" si="0"/>
        <v>0.82369999999999999</v>
      </c>
    </row>
    <row r="5" spans="1:9" x14ac:dyDescent="0.5">
      <c r="A5" s="46"/>
      <c r="B5" s="22" t="s">
        <v>14</v>
      </c>
      <c r="C5" s="4">
        <f>ABS(C2-C3)</f>
        <v>9.9999999999988987E-5</v>
      </c>
      <c r="D5" s="4">
        <f>ABS(D2-D3)</f>
        <v>0</v>
      </c>
      <c r="E5" s="4">
        <f t="shared" ref="E5:G5" si="1">ABS(E2-E3)</f>
        <v>2.8099999999999903E-2</v>
      </c>
      <c r="F5" s="4">
        <f t="shared" si="1"/>
        <v>3.3200000000000007E-2</v>
      </c>
      <c r="G5" s="4">
        <f t="shared" si="1"/>
        <v>2.5999999999999357E-3</v>
      </c>
    </row>
    <row r="6" spans="1:9" x14ac:dyDescent="0.5">
      <c r="A6" s="44" t="s">
        <v>39</v>
      </c>
      <c r="B6" s="20" t="s">
        <v>6</v>
      </c>
      <c r="C6" s="38">
        <v>0.81059999999999999</v>
      </c>
      <c r="D6" s="38">
        <v>0.80500000000000005</v>
      </c>
      <c r="E6" s="38">
        <v>0.8125</v>
      </c>
      <c r="F6" s="38">
        <v>0.80869999999999997</v>
      </c>
      <c r="G6" s="38">
        <v>0.81059999999999999</v>
      </c>
    </row>
    <row r="7" spans="1:9" x14ac:dyDescent="0.5">
      <c r="A7" s="45"/>
      <c r="B7" s="19" t="s">
        <v>7</v>
      </c>
      <c r="C7" s="38">
        <v>0.8226</v>
      </c>
      <c r="D7" s="38">
        <v>0.8125</v>
      </c>
      <c r="E7" s="38">
        <v>0.81820000000000004</v>
      </c>
      <c r="F7" s="38">
        <v>0.8276</v>
      </c>
      <c r="G7" s="38">
        <v>0.82289999999999996</v>
      </c>
    </row>
    <row r="8" spans="1:9" x14ac:dyDescent="0.5">
      <c r="A8" s="45"/>
      <c r="B8" s="21" t="s">
        <v>13</v>
      </c>
      <c r="C8" s="37">
        <f>AVERAGE(C6:C7)</f>
        <v>0.81659999999999999</v>
      </c>
      <c r="D8" s="37">
        <f>AVERAGE(D6:D7)</f>
        <v>0.80875000000000008</v>
      </c>
      <c r="E8" s="38">
        <f t="shared" ref="E8:G8" si="2">AVERAGE(E6:E7)</f>
        <v>0.81535000000000002</v>
      </c>
      <c r="F8" s="38">
        <f t="shared" si="2"/>
        <v>0.81814999999999993</v>
      </c>
      <c r="G8" s="37">
        <f t="shared" si="2"/>
        <v>0.81674999999999998</v>
      </c>
    </row>
    <row r="9" spans="1:9" x14ac:dyDescent="0.5">
      <c r="A9" s="46"/>
      <c r="B9" s="22" t="s">
        <v>14</v>
      </c>
      <c r="C9" s="4">
        <f>ABS(C6-C7)</f>
        <v>1.2000000000000011E-2</v>
      </c>
      <c r="D9" s="4">
        <f>ABS(D6-D7)</f>
        <v>7.4999999999999512E-3</v>
      </c>
      <c r="E9" s="39">
        <f t="shared" ref="E9:F9" si="3">ABS(E6-E7)</f>
        <v>5.7000000000000384E-3</v>
      </c>
      <c r="F9" s="39">
        <f t="shared" si="3"/>
        <v>1.8900000000000028E-2</v>
      </c>
      <c r="G9" s="4">
        <f>ABS(G6-G7)</f>
        <v>1.2299999999999978E-2</v>
      </c>
    </row>
    <row r="10" spans="1:9" x14ac:dyDescent="0.5">
      <c r="A10" s="45" t="s">
        <v>40</v>
      </c>
      <c r="B10" s="19" t="s">
        <v>6</v>
      </c>
      <c r="C10" s="38">
        <v>0.70140000000000002</v>
      </c>
      <c r="D10" s="38">
        <v>0.71640000000000004</v>
      </c>
      <c r="E10" s="40">
        <v>0.76739999999999997</v>
      </c>
      <c r="F10" s="40">
        <v>0.63759999999999994</v>
      </c>
      <c r="G10" s="38">
        <v>0.70250000000000001</v>
      </c>
    </row>
    <row r="11" spans="1:9" x14ac:dyDescent="0.5">
      <c r="A11" s="45"/>
      <c r="B11" s="19" t="s">
        <v>7</v>
      </c>
      <c r="C11" s="38">
        <v>0.6452</v>
      </c>
      <c r="D11" s="38">
        <v>0.63329999999999997</v>
      </c>
      <c r="E11" s="38">
        <v>0.57579999999999998</v>
      </c>
      <c r="F11" s="38">
        <v>0.72409999999999997</v>
      </c>
      <c r="G11" s="38">
        <v>0.64990000000000003</v>
      </c>
    </row>
    <row r="12" spans="1:9" x14ac:dyDescent="0.5">
      <c r="A12" s="45"/>
      <c r="B12" s="21" t="s">
        <v>8</v>
      </c>
      <c r="C12" s="37">
        <f>AVERAGE(C10:C11)</f>
        <v>0.67330000000000001</v>
      </c>
      <c r="D12" s="38">
        <f>AVERAGE(D10:D11)</f>
        <v>0.67484999999999995</v>
      </c>
      <c r="E12" s="38">
        <f>AVERAGE(E10:E11)</f>
        <v>0.67159999999999997</v>
      </c>
      <c r="F12" s="38">
        <f>AVERAGE(F10:F11)</f>
        <v>0.68084999999999996</v>
      </c>
      <c r="G12" s="37">
        <f>AVERAGE(G10:G11)</f>
        <v>0.67620000000000002</v>
      </c>
    </row>
    <row r="13" spans="1:9" x14ac:dyDescent="0.5">
      <c r="A13" s="45"/>
      <c r="B13" s="22" t="s">
        <v>9</v>
      </c>
      <c r="C13" s="38">
        <f>ABS(C10-C11)</f>
        <v>5.6200000000000028E-2</v>
      </c>
      <c r="D13" s="38">
        <f>ABS(D10-D11)</f>
        <v>8.3100000000000063E-2</v>
      </c>
      <c r="E13" s="38">
        <f>ABS(E10-E11)</f>
        <v>0.19159999999999999</v>
      </c>
      <c r="F13" s="38">
        <f>ABS(F10-F11)</f>
        <v>8.6500000000000021E-2</v>
      </c>
      <c r="G13" s="38">
        <f>ABS(G10-G11)</f>
        <v>5.259999999999998E-2</v>
      </c>
    </row>
    <row r="14" spans="1:9" ht="13.75" customHeight="1" x14ac:dyDescent="0.5">
      <c r="A14" s="45" t="s">
        <v>41</v>
      </c>
      <c r="B14" s="19" t="s">
        <v>6</v>
      </c>
      <c r="C14" s="38">
        <v>0.66379999999999995</v>
      </c>
      <c r="D14" s="38">
        <v>0.66890000000000005</v>
      </c>
      <c r="E14" s="40">
        <v>0.69099999999999995</v>
      </c>
      <c r="F14" s="40">
        <v>0.63759999999999994</v>
      </c>
      <c r="G14" s="40">
        <v>0.6643</v>
      </c>
      <c r="H14" s="19"/>
      <c r="I14" s="19"/>
    </row>
    <row r="15" spans="1:9" ht="13.75" customHeight="1" x14ac:dyDescent="0.5">
      <c r="A15" s="45"/>
      <c r="B15" s="19" t="s">
        <v>7</v>
      </c>
      <c r="C15" s="38">
        <v>0.6129</v>
      </c>
      <c r="D15" s="38">
        <v>0.58620000000000005</v>
      </c>
      <c r="E15" s="40">
        <v>0.51519999999999999</v>
      </c>
      <c r="F15" s="40">
        <v>0.72409999999999997</v>
      </c>
      <c r="G15" s="40">
        <v>0.61960000000000004</v>
      </c>
      <c r="H15" s="19"/>
      <c r="I15" s="19"/>
    </row>
    <row r="16" spans="1:9" ht="13.75" customHeight="1" x14ac:dyDescent="0.5">
      <c r="A16" s="45"/>
      <c r="B16" s="21" t="s">
        <v>8</v>
      </c>
      <c r="C16" s="37">
        <f>AVERAGE(C14:C15)</f>
        <v>0.63834999999999997</v>
      </c>
      <c r="D16" s="38">
        <f>AVERAGE(D14:D15)</f>
        <v>0.62755000000000005</v>
      </c>
      <c r="E16" s="38">
        <f>AVERAGE(E14:E15)</f>
        <v>0.60309999999999997</v>
      </c>
      <c r="F16" s="38">
        <f>AVERAGE(F14:F15)</f>
        <v>0.68084999999999996</v>
      </c>
      <c r="G16" s="37">
        <f>AVERAGE(G14:G15)</f>
        <v>0.64195000000000002</v>
      </c>
      <c r="H16" s="19"/>
      <c r="I16" s="19"/>
    </row>
    <row r="17" spans="1:7" x14ac:dyDescent="0.5">
      <c r="A17" s="45"/>
      <c r="B17" s="22" t="s">
        <v>9</v>
      </c>
      <c r="C17" s="38">
        <f>ABS(C14-C15)</f>
        <v>5.0899999999999945E-2</v>
      </c>
      <c r="D17" s="38">
        <f>ABS(D14-D15)</f>
        <v>8.2699999999999996E-2</v>
      </c>
      <c r="E17" s="38">
        <f>ABS(E14-E15)</f>
        <v>0.17579999999999996</v>
      </c>
      <c r="F17" s="38">
        <f>ABS(F14-F15)</f>
        <v>8.6500000000000021E-2</v>
      </c>
      <c r="G17" s="38">
        <f>ABS(G14-G15)</f>
        <v>4.4699999999999962E-2</v>
      </c>
    </row>
  </sheetData>
  <mergeCells count="4">
    <mergeCell ref="A2:A5"/>
    <mergeCell ref="A10:A13"/>
    <mergeCell ref="A6:A9"/>
    <mergeCell ref="A14:A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B299-194F-40C9-8BA8-7BF0A02252D0}">
  <dimension ref="A1:S9"/>
  <sheetViews>
    <sheetView tabSelected="1" workbookViewId="0">
      <selection activeCell="E18" sqref="E18"/>
    </sheetView>
  </sheetViews>
  <sheetFormatPr defaultRowHeight="14.35" x14ac:dyDescent="0.5"/>
  <cols>
    <col min="1" max="6" width="30.29296875" customWidth="1"/>
    <col min="7" max="7" width="9.3515625" customWidth="1"/>
    <col min="13" max="13" width="7.52734375" customWidth="1"/>
    <col min="14" max="14" width="28.8203125" customWidth="1"/>
    <col min="15" max="15" width="29.29296875" customWidth="1"/>
    <col min="16" max="16" width="35.234375" customWidth="1"/>
    <col min="17" max="17" width="33.234375" customWidth="1"/>
    <col min="18" max="18" width="22.52734375" customWidth="1"/>
    <col min="19" max="19" width="12.52734375" customWidth="1"/>
  </cols>
  <sheetData>
    <row r="1" spans="1:19" x14ac:dyDescent="0.5">
      <c r="A1" s="3" t="s">
        <v>5</v>
      </c>
      <c r="B1" s="2" t="s">
        <v>17</v>
      </c>
      <c r="C1" s="2" t="s">
        <v>18</v>
      </c>
      <c r="D1" s="2" t="s">
        <v>19</v>
      </c>
      <c r="E1" s="2" t="s">
        <v>22</v>
      </c>
      <c r="F1" s="2" t="s">
        <v>34</v>
      </c>
      <c r="H1" s="2" t="s">
        <v>5</v>
      </c>
      <c r="I1" s="2"/>
      <c r="J1" s="2" t="s">
        <v>1</v>
      </c>
      <c r="K1" s="2" t="s">
        <v>10</v>
      </c>
      <c r="L1" s="2" t="s">
        <v>3</v>
      </c>
      <c r="M1" s="2" t="s">
        <v>4</v>
      </c>
      <c r="N1" s="2" t="s">
        <v>16</v>
      </c>
      <c r="O1" s="18" t="s">
        <v>19</v>
      </c>
      <c r="P1" s="18" t="s">
        <v>20</v>
      </c>
      <c r="Q1" s="18" t="s">
        <v>21</v>
      </c>
      <c r="R1" s="18" t="s">
        <v>22</v>
      </c>
      <c r="S1" s="18"/>
    </row>
    <row r="2" spans="1:19" x14ac:dyDescent="0.5">
      <c r="A2" s="16" t="s">
        <v>15</v>
      </c>
      <c r="B2" s="18">
        <v>329.72</v>
      </c>
      <c r="C2" s="16">
        <v>1244.03</v>
      </c>
      <c r="D2" s="18">
        <v>1.69</v>
      </c>
      <c r="E2" s="29">
        <v>25784578</v>
      </c>
      <c r="F2" s="32">
        <v>104.75</v>
      </c>
      <c r="H2" s="47" t="s">
        <v>0</v>
      </c>
      <c r="I2" s="12" t="s">
        <v>6</v>
      </c>
      <c r="J2" s="24">
        <v>0.80720000000000003</v>
      </c>
      <c r="K2" s="24">
        <v>0.78469999999999995</v>
      </c>
      <c r="L2" s="24">
        <v>0.82889999999999997</v>
      </c>
      <c r="M2" s="24">
        <v>0.80679999999999996</v>
      </c>
      <c r="N2" s="24">
        <v>194.5</v>
      </c>
      <c r="O2" s="16">
        <v>1.63</v>
      </c>
      <c r="P2" s="16">
        <v>1041.58</v>
      </c>
      <c r="Q2" s="16">
        <v>1154.5</v>
      </c>
      <c r="R2" s="23">
        <v>87456770</v>
      </c>
    </row>
    <row r="3" spans="1:19" x14ac:dyDescent="0.5">
      <c r="A3" s="6" t="s">
        <v>23</v>
      </c>
      <c r="B3" s="21">
        <v>1041.58</v>
      </c>
      <c r="C3" s="19">
        <v>1154.5</v>
      </c>
      <c r="D3" s="21">
        <v>1.63</v>
      </c>
      <c r="E3" s="30">
        <v>87456770</v>
      </c>
      <c r="F3" s="33">
        <v>194.5</v>
      </c>
      <c r="H3" s="47"/>
      <c r="I3" s="12" t="s">
        <v>7</v>
      </c>
      <c r="J3" s="24">
        <v>0.80649999999999999</v>
      </c>
      <c r="K3" s="24">
        <v>0.72729999999999995</v>
      </c>
      <c r="L3" s="24">
        <v>0.89659999999999995</v>
      </c>
      <c r="M3" s="24">
        <v>0.81189999999999996</v>
      </c>
      <c r="N3" s="16"/>
      <c r="O3" s="16"/>
      <c r="P3" s="16"/>
      <c r="Q3" s="16"/>
      <c r="R3" s="16"/>
    </row>
    <row r="4" spans="1:19" x14ac:dyDescent="0.5">
      <c r="A4" s="17" t="s">
        <v>24</v>
      </c>
      <c r="B4" s="10">
        <v>1307.1300000000001</v>
      </c>
      <c r="C4" s="10">
        <v>1421.38</v>
      </c>
      <c r="D4" s="10">
        <v>1.84</v>
      </c>
      <c r="E4" s="31">
        <v>110759810</v>
      </c>
      <c r="F4" s="34">
        <v>191.87</v>
      </c>
      <c r="H4" s="47"/>
      <c r="I4" s="11" t="s">
        <v>8</v>
      </c>
      <c r="J4" s="11">
        <f>AVERAGE(J2:J3)</f>
        <v>0.80685000000000007</v>
      </c>
      <c r="K4" s="12">
        <f>AVERAGE(K2:K3)</f>
        <v>0.75600000000000001</v>
      </c>
      <c r="L4" s="12">
        <f>AVERAGE(L2:L3)</f>
        <v>0.86274999999999991</v>
      </c>
      <c r="M4" s="11">
        <f>AVERAGE(M2:M3)</f>
        <v>0.80935000000000001</v>
      </c>
      <c r="N4" s="16"/>
      <c r="O4" s="16"/>
      <c r="P4" s="16"/>
      <c r="Q4" s="16"/>
      <c r="R4" s="16"/>
    </row>
    <row r="5" spans="1:19" x14ac:dyDescent="0.5">
      <c r="A5" s="17" t="s">
        <v>25</v>
      </c>
      <c r="B5" s="10">
        <v>2303.34</v>
      </c>
      <c r="C5" s="10">
        <v>1513.28</v>
      </c>
      <c r="D5" s="10">
        <v>1.94</v>
      </c>
      <c r="E5" s="31">
        <v>197725442</v>
      </c>
      <c r="F5" s="34">
        <v>274.86</v>
      </c>
      <c r="H5" s="48"/>
      <c r="I5" s="13" t="s">
        <v>9</v>
      </c>
      <c r="J5" s="13">
        <f>ABS(J2-J3)</f>
        <v>7.0000000000003393E-4</v>
      </c>
      <c r="K5" s="14">
        <f>ABS(K2-K3)</f>
        <v>5.7400000000000007E-2</v>
      </c>
      <c r="L5" s="14">
        <f>ABS(L2-L3)</f>
        <v>6.7699999999999982E-2</v>
      </c>
      <c r="M5" s="13">
        <f>ABS(M2-M3)</f>
        <v>5.0999999999999934E-3</v>
      </c>
      <c r="N5" s="16"/>
      <c r="O5" s="16"/>
      <c r="P5" s="16"/>
      <c r="Q5" s="16"/>
      <c r="R5" s="16"/>
    </row>
    <row r="6" spans="1:19" x14ac:dyDescent="0.5">
      <c r="A6" s="17" t="s">
        <v>26</v>
      </c>
      <c r="B6" s="10">
        <v>384.44</v>
      </c>
      <c r="C6" s="10">
        <v>1739.86</v>
      </c>
      <c r="D6" s="10">
        <v>1.79</v>
      </c>
      <c r="E6" s="31">
        <v>525826</v>
      </c>
      <c r="F6" s="34">
        <v>458.52</v>
      </c>
      <c r="H6" s="49" t="s">
        <v>12</v>
      </c>
      <c r="I6" s="25" t="s">
        <v>6</v>
      </c>
      <c r="J6" s="12">
        <v>0.81910000000000005</v>
      </c>
      <c r="K6" s="12">
        <v>0.80900000000000005</v>
      </c>
      <c r="L6" s="12">
        <v>0.82889999999999997</v>
      </c>
      <c r="M6" s="12">
        <v>0.81889999999999996</v>
      </c>
      <c r="N6" s="12">
        <v>644.07000000000005</v>
      </c>
      <c r="O6" s="16">
        <v>3.92</v>
      </c>
      <c r="P6" s="16">
        <v>3532.19</v>
      </c>
      <c r="Q6" s="16">
        <v>1176.1600000000001</v>
      </c>
      <c r="R6" s="23">
        <v>305512450</v>
      </c>
    </row>
    <row r="7" spans="1:19" x14ac:dyDescent="0.5">
      <c r="A7" s="17" t="s">
        <v>27</v>
      </c>
      <c r="B7" s="10">
        <v>1307.1300000000001</v>
      </c>
      <c r="C7" s="10">
        <v>1526.75</v>
      </c>
      <c r="D7" s="10">
        <v>2.06</v>
      </c>
      <c r="E7" s="31">
        <v>110759810</v>
      </c>
      <c r="F7" s="34">
        <v>159.4</v>
      </c>
      <c r="H7" s="47"/>
      <c r="I7" s="12" t="s">
        <v>7</v>
      </c>
      <c r="J7" s="12">
        <v>0.8548</v>
      </c>
      <c r="K7" s="12">
        <v>0.84850000000000003</v>
      </c>
      <c r="L7" s="12">
        <v>0.86209999999999998</v>
      </c>
      <c r="M7" s="12">
        <v>0.85529999999999995</v>
      </c>
      <c r="N7" s="16"/>
      <c r="O7" s="16"/>
      <c r="P7" s="16"/>
      <c r="Q7" s="16"/>
      <c r="R7" s="16"/>
    </row>
    <row r="8" spans="1:19" x14ac:dyDescent="0.5">
      <c r="A8" s="17" t="s">
        <v>28</v>
      </c>
      <c r="B8" s="2">
        <v>2314.21</v>
      </c>
      <c r="C8" s="10">
        <v>1502.38</v>
      </c>
      <c r="D8" s="2">
        <v>2.02</v>
      </c>
      <c r="E8" s="30">
        <v>198253314</v>
      </c>
      <c r="F8" s="34">
        <v>247.86</v>
      </c>
      <c r="H8" s="47"/>
      <c r="I8" s="11" t="s">
        <v>8</v>
      </c>
      <c r="J8" s="11">
        <f>AVERAGE(J6:J7)</f>
        <v>0.83695000000000008</v>
      </c>
      <c r="K8" s="12">
        <f>AVERAGE(K6:K7)</f>
        <v>0.8287500000000001</v>
      </c>
      <c r="L8" s="12">
        <f>AVERAGE(L6:L7)</f>
        <v>0.84549999999999992</v>
      </c>
      <c r="M8" s="11">
        <f>AVERAGE(M6:M7)</f>
        <v>0.83709999999999996</v>
      </c>
      <c r="N8" s="16"/>
      <c r="O8" s="16"/>
      <c r="P8" s="16"/>
      <c r="Q8" s="16"/>
      <c r="R8" s="16"/>
    </row>
    <row r="9" spans="1:19" x14ac:dyDescent="0.5">
      <c r="A9" s="17" t="s">
        <v>29</v>
      </c>
      <c r="B9" s="10">
        <v>389.64</v>
      </c>
      <c r="C9" s="10">
        <v>1721.22</v>
      </c>
      <c r="D9" s="10">
        <v>1.95</v>
      </c>
      <c r="E9" s="31">
        <v>1053698</v>
      </c>
      <c r="F9" s="34">
        <v>262.07</v>
      </c>
      <c r="H9" s="48"/>
      <c r="I9" s="13" t="s">
        <v>9</v>
      </c>
      <c r="J9" s="13">
        <f>ABS(J6-J7)</f>
        <v>3.5699999999999954E-2</v>
      </c>
      <c r="K9" s="14">
        <f>ABS(K6-K7)</f>
        <v>3.949999999999998E-2</v>
      </c>
      <c r="L9" s="14">
        <f>ABS(L6-L7)</f>
        <v>3.3200000000000007E-2</v>
      </c>
      <c r="M9" s="13">
        <f>ABS(M6-M7)</f>
        <v>3.6399999999999988E-2</v>
      </c>
      <c r="N9" s="16"/>
      <c r="O9" s="16"/>
      <c r="P9" s="16"/>
      <c r="Q9" s="16"/>
      <c r="R9" s="16"/>
    </row>
  </sheetData>
  <mergeCells count="2">
    <mergeCell ref="H2:H5"/>
    <mergeCell ref="H6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BasicSum</vt:lpstr>
      <vt:lpstr>SkinToneSum</vt:lpstr>
      <vt:lpstr>GeminiSum</vt:lpstr>
      <vt:lpstr>MONETSum</vt:lpstr>
      <vt:lpstr>MONET3Sum</vt:lpstr>
      <vt:lpstr>Comparison</vt:lpstr>
      <vt:lpstr>Computing Resource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Rezk</dc:creator>
  <cp:lastModifiedBy>Chentao Jin</cp:lastModifiedBy>
  <dcterms:created xsi:type="dcterms:W3CDTF">2025-04-21T19:18:56Z</dcterms:created>
  <dcterms:modified xsi:type="dcterms:W3CDTF">2025-08-23T18:54:53Z</dcterms:modified>
</cp:coreProperties>
</file>